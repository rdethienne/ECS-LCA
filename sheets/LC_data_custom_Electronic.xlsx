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clouvain-my.sharepoint.com/personal/robin_dethienne_uclouvain_be/Documents/DOC/teaching/TFE_ICT/"/>
    </mc:Choice>
  </mc:AlternateContent>
  <xr:revisionPtr revIDLastSave="17" documentId="13_ncr:1_{B47BC498-D0F1-4843-83E3-6F9245C31D69}" xr6:coauthVersionLast="47" xr6:coauthVersionMax="47" xr10:uidLastSave="{A48AD26A-F158-4358-9415-680F98189534}"/>
  <bookViews>
    <workbookView xWindow="-25320" yWindow="-120" windowWidth="25440" windowHeight="15270" xr2:uid="{00000000-000D-0000-FFFF-FFFF00000000}"/>
  </bookViews>
  <sheets>
    <sheet name="PWB" sheetId="24" r:id="rId1"/>
    <sheet name="IC_frontend" sheetId="29" r:id="rId2"/>
    <sheet name="IC_backend" sheetId="30" r:id="rId3"/>
    <sheet name="quartz_oscillator" sheetId="3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9" l="1"/>
  <c r="J3" i="39" s="1"/>
  <c r="G4" i="39"/>
  <c r="J4" i="39" s="1"/>
  <c r="G5" i="39"/>
  <c r="J5" i="39" s="1"/>
  <c r="G6" i="39"/>
  <c r="J6" i="39" s="1"/>
  <c r="G7" i="39"/>
  <c r="J7" i="39" s="1"/>
  <c r="G8" i="39"/>
  <c r="G9" i="39"/>
  <c r="J9" i="39" s="1"/>
  <c r="G10" i="39"/>
  <c r="J10" i="39" s="1"/>
  <c r="G11" i="39"/>
  <c r="G12" i="39"/>
  <c r="J12" i="39" s="1"/>
  <c r="G13" i="39"/>
  <c r="J13" i="39" s="1"/>
  <c r="G14" i="39"/>
  <c r="J14" i="39" s="1"/>
  <c r="G15" i="39"/>
  <c r="J15" i="39" s="1"/>
  <c r="G16" i="39"/>
  <c r="G17" i="39"/>
  <c r="G18" i="39"/>
  <c r="J18" i="39" s="1"/>
  <c r="G19" i="39"/>
  <c r="J19" i="39" s="1"/>
  <c r="G20" i="39"/>
  <c r="J20" i="39" s="1"/>
  <c r="G21" i="39"/>
  <c r="J21" i="39" s="1"/>
  <c r="G22" i="39"/>
  <c r="G23" i="39"/>
  <c r="J23" i="39" s="1"/>
  <c r="G24" i="39"/>
  <c r="J24" i="39" s="1"/>
  <c r="G25" i="39"/>
  <c r="G26" i="39"/>
  <c r="G27" i="39"/>
  <c r="J27" i="39" s="1"/>
  <c r="J8" i="39"/>
  <c r="J11" i="39"/>
  <c r="J16" i="39"/>
  <c r="J17" i="39"/>
  <c r="J22" i="39"/>
  <c r="J25" i="39"/>
  <c r="J26" i="39"/>
  <c r="G2" i="39"/>
  <c r="J2" i="39" s="1"/>
  <c r="K2" i="39" s="1"/>
  <c r="L23" i="39" l="1"/>
  <c r="K23" i="39"/>
  <c r="L15" i="39"/>
  <c r="K15" i="39"/>
  <c r="K7" i="39"/>
  <c r="L7" i="39"/>
  <c r="L14" i="39"/>
  <c r="K14" i="39"/>
  <c r="L6" i="39"/>
  <c r="K6" i="39"/>
  <c r="L21" i="39"/>
  <c r="K21" i="39"/>
  <c r="L13" i="39"/>
  <c r="K13" i="39"/>
  <c r="L5" i="39"/>
  <c r="K5" i="39"/>
  <c r="K20" i="39"/>
  <c r="L20" i="39"/>
  <c r="L8" i="39"/>
  <c r="K8" i="39"/>
  <c r="K12" i="39"/>
  <c r="L12" i="39"/>
  <c r="L4" i="39"/>
  <c r="K4" i="39"/>
  <c r="L26" i="39"/>
  <c r="K26" i="39"/>
  <c r="L27" i="39"/>
  <c r="K27" i="39"/>
  <c r="L25" i="39"/>
  <c r="K25" i="39"/>
  <c r="L10" i="39"/>
  <c r="K10" i="39"/>
  <c r="L22" i="39"/>
  <c r="K22" i="39"/>
  <c r="L18" i="39"/>
  <c r="K18" i="39"/>
  <c r="L9" i="39"/>
  <c r="K9" i="39"/>
  <c r="L11" i="39"/>
  <c r="K11" i="39"/>
  <c r="L19" i="39"/>
  <c r="K19" i="39"/>
  <c r="L3" i="39"/>
  <c r="K3" i="39"/>
  <c r="L17" i="39"/>
  <c r="K17" i="39"/>
  <c r="L16" i="39"/>
  <c r="K16" i="39"/>
  <c r="L24" i="39"/>
  <c r="K24" i="39"/>
  <c r="L2" i="39"/>
  <c r="G16" i="30" l="1"/>
  <c r="J16" i="30" s="1"/>
  <c r="G15" i="30"/>
  <c r="J15" i="30" s="1"/>
  <c r="G14" i="30"/>
  <c r="J14" i="30" s="1"/>
  <c r="G13" i="30"/>
  <c r="J13" i="30" s="1"/>
  <c r="G12" i="30"/>
  <c r="J12" i="30" s="1"/>
  <c r="G11" i="30"/>
  <c r="J11" i="30" s="1"/>
  <c r="G10" i="30"/>
  <c r="J10" i="30" s="1"/>
  <c r="G9" i="30"/>
  <c r="J9" i="30" s="1"/>
  <c r="G8" i="30"/>
  <c r="J8" i="30" s="1"/>
  <c r="G7" i="30"/>
  <c r="J7" i="30" s="1"/>
  <c r="G6" i="30"/>
  <c r="J6" i="30" s="1"/>
  <c r="G5" i="30"/>
  <c r="J5" i="30" s="1"/>
  <c r="G4" i="30"/>
  <c r="J4" i="30" s="1"/>
  <c r="G3" i="30"/>
  <c r="J3" i="30" s="1"/>
  <c r="G2" i="30"/>
  <c r="J2" i="30" s="1"/>
  <c r="G2" i="29"/>
  <c r="J2" i="29" s="1"/>
  <c r="G3" i="24" l="1"/>
  <c r="J3" i="24" s="1"/>
  <c r="G4" i="24"/>
  <c r="J4" i="24" s="1"/>
  <c r="J2" i="24"/>
  <c r="K4" i="24" l="1"/>
  <c r="L4" i="24"/>
</calcChain>
</file>

<file path=xl/sharedStrings.xml><?xml version="1.0" encoding="utf-8"?>
<sst xmlns="http://schemas.openxmlformats.org/spreadsheetml/2006/main" count="548" uniqueCount="159">
  <si>
    <t>Name</t>
  </si>
  <si>
    <t>datasheet</t>
  </si>
  <si>
    <t>Note</t>
  </si>
  <si>
    <t>Unit</t>
  </si>
  <si>
    <t>Qty</t>
  </si>
  <si>
    <t>Amount</t>
  </si>
  <si>
    <t>NA</t>
  </si>
  <si>
    <t>Reference in inventory</t>
  </si>
  <si>
    <t>EI activity name</t>
  </si>
  <si>
    <t>Total Qty (Qty*Amount)</t>
  </si>
  <si>
    <t>unit</t>
  </si>
  <si>
    <t>market for copper, cathode</t>
  </si>
  <si>
    <t>Label</t>
  </si>
  <si>
    <t>Type</t>
  </si>
  <si>
    <t>Default</t>
  </si>
  <si>
    <t>Min</t>
  </si>
  <si>
    <t>Max</t>
  </si>
  <si>
    <t>Std</t>
  </si>
  <si>
    <t>Distrib</t>
  </si>
  <si>
    <t>Description</t>
  </si>
  <si>
    <t>Values</t>
  </si>
  <si>
    <t>Weight</t>
  </si>
  <si>
    <t>TRIANGLE</t>
  </si>
  <si>
    <t>Float</t>
  </si>
  <si>
    <t>loc</t>
  </si>
  <si>
    <t>GLO</t>
  </si>
  <si>
    <t>RoW</t>
  </si>
  <si>
    <t>RER</t>
  </si>
  <si>
    <t>LCA algebraic name</t>
  </si>
  <si>
    <t>FIXED</t>
  </si>
  <si>
    <t>kg</t>
  </si>
  <si>
    <t>m2</t>
  </si>
  <si>
    <t>market for copper, anode</t>
  </si>
  <si>
    <t>market for silver</t>
  </si>
  <si>
    <t>market for zinc</t>
  </si>
  <si>
    <t>market for nickel, class 1</t>
  </si>
  <si>
    <t>market for cobalt</t>
  </si>
  <si>
    <t>market for chromium</t>
  </si>
  <si>
    <t>market for manganese</t>
  </si>
  <si>
    <t>market for molybdenum</t>
  </si>
  <si>
    <t>market for carbon black</t>
  </si>
  <si>
    <t>kWh</t>
  </si>
  <si>
    <t>market group for electricity, medium voltage</t>
  </si>
  <si>
    <t>PWB 2L embodied energy</t>
  </si>
  <si>
    <t>PWB  2L copper amount</t>
  </si>
  <si>
    <t>PWB  2L gold amount</t>
  </si>
  <si>
    <t>PWB_ 2L_embodied_energy</t>
  </si>
  <si>
    <t>PWB_ 2L_copper_amount</t>
  </si>
  <si>
    <t>PWB_ 2L_gold_amount</t>
  </si>
  <si>
    <t>market for gold</t>
  </si>
  <si>
    <t>UNIFORM</t>
  </si>
  <si>
    <t>electricity, medium voltage</t>
  </si>
  <si>
    <t>copper, cathode</t>
  </si>
  <si>
    <t>gold</t>
  </si>
  <si>
    <t>market for chemical, organic</t>
  </si>
  <si>
    <t>market for electronic component factory</t>
  </si>
  <si>
    <t>market for epoxy resin insulator, SiO2</t>
  </si>
  <si>
    <t>market for epoxy resin, liquid</t>
  </si>
  <si>
    <t>market for glass fibre reinforced plastic, polyamide, injection moulded</t>
  </si>
  <si>
    <t>market group for heat, district or industrial, other than natural gas</t>
  </si>
  <si>
    <t>market for lead</t>
  </si>
  <si>
    <t>market for tin</t>
  </si>
  <si>
    <t>MJ</t>
  </si>
  <si>
    <t>Uncertain, ecoinvent tends to provide an upper bound for Ics -&gt; the correct value must be in between 0 and the EI value</t>
  </si>
  <si>
    <t>IC chemical organic</t>
  </si>
  <si>
    <t>IC_chemical_organic</t>
  </si>
  <si>
    <t>IC copper</t>
  </si>
  <si>
    <t>IC_copper</t>
  </si>
  <si>
    <t>IC electricity backend</t>
  </si>
  <si>
    <t>IC_electricity_backend</t>
  </si>
  <si>
    <t>IC factory</t>
  </si>
  <si>
    <t>IC_factory</t>
  </si>
  <si>
    <t>IC epoxy resin</t>
  </si>
  <si>
    <t>IC_epoxy_resin</t>
  </si>
  <si>
    <t>IC epoxy resin liquid RER</t>
  </si>
  <si>
    <t>IC_epoxy_resin_liquid_RER</t>
  </si>
  <si>
    <t>IC epoxy resin liquid RoW</t>
  </si>
  <si>
    <t>IC_epoxy_resin_liquid_RoW</t>
  </si>
  <si>
    <t>IC glass fibre</t>
  </si>
  <si>
    <t>IC_glass_fibre</t>
  </si>
  <si>
    <t>IC gold</t>
  </si>
  <si>
    <t>IC_gold</t>
  </si>
  <si>
    <t>IC heat</t>
  </si>
  <si>
    <t>IC_heat</t>
  </si>
  <si>
    <t>IC lead</t>
  </si>
  <si>
    <t>IC_lead</t>
  </si>
  <si>
    <t>IC nickel</t>
  </si>
  <si>
    <t>IC_nickel</t>
  </si>
  <si>
    <t>IC silver</t>
  </si>
  <si>
    <t>IC_silver</t>
  </si>
  <si>
    <t>IC tin</t>
  </si>
  <si>
    <t>IC_tin</t>
  </si>
  <si>
    <t>IC wafer</t>
  </si>
  <si>
    <t>IC_wafer</t>
  </si>
  <si>
    <t>IC zinc</t>
  </si>
  <si>
    <t>IC_zinc</t>
  </si>
  <si>
    <t>wafer production, fabricated, for integrated circuit</t>
  </si>
  <si>
    <t>quartz_base_Alumina</t>
  </si>
  <si>
    <t>quartz_base_Silica</t>
  </si>
  <si>
    <t>quartz_base_Titanium oxide</t>
  </si>
  <si>
    <t>quartz_base_Magnesia</t>
  </si>
  <si>
    <t>quartz_base_Calcia</t>
  </si>
  <si>
    <t>quartz_base_Chromium oxide</t>
  </si>
  <si>
    <t>quartz_base_Tungsten</t>
  </si>
  <si>
    <t>quartz_base_Molybdenum</t>
  </si>
  <si>
    <t>quartz_base_Silver</t>
  </si>
  <si>
    <t>quartz_base_Copper</t>
  </si>
  <si>
    <t>quartz_base_Iron</t>
  </si>
  <si>
    <t>quartz_base_Nickel</t>
  </si>
  <si>
    <t>quartz_base_Cobalt</t>
  </si>
  <si>
    <t>quartz_base_Gold</t>
  </si>
  <si>
    <t>quartz_cover_Iron</t>
  </si>
  <si>
    <t>quartz_cover_Nickel</t>
  </si>
  <si>
    <t>quartz_cover_Cobalt</t>
  </si>
  <si>
    <t>quartz_cover_Manganese</t>
  </si>
  <si>
    <t>quartz_cover_Silicon</t>
  </si>
  <si>
    <t>quartz_cover_Carbon</t>
  </si>
  <si>
    <t>quartz_crystal_blank_Silica</t>
  </si>
  <si>
    <t>quartz_silver_silver</t>
  </si>
  <si>
    <t>quartz_silver_chromium</t>
  </si>
  <si>
    <t>quartz_adhesive_silver</t>
  </si>
  <si>
    <t>quartz base Alumina</t>
  </si>
  <si>
    <t>quartz base Silica</t>
  </si>
  <si>
    <t>quartz base Titanium oxide</t>
  </si>
  <si>
    <t>quartz base Magnesia</t>
  </si>
  <si>
    <t>quartz base Calcia</t>
  </si>
  <si>
    <t>quartz base Chromium oxide</t>
  </si>
  <si>
    <t>quartz base Tungsten</t>
  </si>
  <si>
    <t>quartz base Molybdenum</t>
  </si>
  <si>
    <t>quartz base Silver</t>
  </si>
  <si>
    <t>quartz base Copper</t>
  </si>
  <si>
    <t>quartz base Iron</t>
  </si>
  <si>
    <t>quartz base Nickel</t>
  </si>
  <si>
    <t>quartz base Cobalt</t>
  </si>
  <si>
    <t>quartz base Gold</t>
  </si>
  <si>
    <t>quartz cover Iron</t>
  </si>
  <si>
    <t>quartz cover Nickel</t>
  </si>
  <si>
    <t>quartz cover Cobalt</t>
  </si>
  <si>
    <t>quartz cover Manganese</t>
  </si>
  <si>
    <t>quartz cover Silicon</t>
  </si>
  <si>
    <t>quartz cover Carbon</t>
  </si>
  <si>
    <t>quartz crystal blank Silica</t>
  </si>
  <si>
    <t>quartz silver silver</t>
  </si>
  <si>
    <t>quartz silver chromium</t>
  </si>
  <si>
    <t>quartz adhesive silver</t>
  </si>
  <si>
    <t>market for activated silica</t>
  </si>
  <si>
    <t>market for magnesium oxide</t>
  </si>
  <si>
    <t>market for quicklime, in pieces, loose</t>
  </si>
  <si>
    <t>market for chromium oxide, flakes</t>
  </si>
  <si>
    <t>market for tungsten concentrate</t>
  </si>
  <si>
    <t>market for iron pellet</t>
  </si>
  <si>
    <t>market for silicon, metallurgical grade</t>
  </si>
  <si>
    <t>market for aluminium oxide, metallurgical</t>
  </si>
  <si>
    <t>market for titanium dioxide</t>
  </si>
  <si>
    <t>based on FMD, then +-20 on different inputs.</t>
  </si>
  <si>
    <t>parameter number</t>
  </si>
  <si>
    <t>Custom process name</t>
  </si>
  <si>
    <t>Comment</t>
  </si>
  <si>
    <t>Modified process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</si>
</sst>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3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231F1F"/>
      <name val="Segoe UI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3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4" xfId="0" applyBorder="1"/>
    <xf numFmtId="0" fontId="1" fillId="2" borderId="5" xfId="0" applyFont="1" applyFill="1" applyBorder="1"/>
    <xf numFmtId="0" fontId="2" fillId="0" borderId="4" xfId="0" applyFont="1" applyBorder="1"/>
    <xf numFmtId="0" fontId="1" fillId="2" borderId="6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0" fillId="0" borderId="8" xfId="0" applyBorder="1"/>
    <xf numFmtId="0" fontId="0" fillId="0" borderId="7" xfId="0" applyBorder="1"/>
    <xf numFmtId="0" fontId="3" fillId="0" borderId="0" xfId="0" applyFont="1"/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6" xfId="0" applyBorder="1"/>
    <xf numFmtId="0" fontId="0" fillId="0" borderId="6" xfId="0" applyBorder="1" applyAlignment="1">
      <alignment vertical="top"/>
    </xf>
    <xf numFmtId="0" fontId="3" fillId="0" borderId="0" xfId="0" applyFont="1" applyAlignment="1">
      <alignment vertical="center" wrapText="1"/>
    </xf>
    <xf numFmtId="11" fontId="0" fillId="0" borderId="4" xfId="0" applyNumberFormat="1" applyBorder="1"/>
    <xf numFmtId="11" fontId="0" fillId="0" borderId="0" xfId="0" applyNumberFormat="1"/>
    <xf numFmtId="11" fontId="4" fillId="0" borderId="0" xfId="0" applyNumberFormat="1" applyFont="1"/>
    <xf numFmtId="11" fontId="0" fillId="0" borderId="4" xfId="0" applyNumberFormat="1" applyBorder="1" applyAlignment="1">
      <alignment vertical="top"/>
    </xf>
    <xf numFmtId="0" fontId="0" fillId="0" borderId="0" xfId="0" applyAlignment="1">
      <alignment vertical="top"/>
    </xf>
    <xf numFmtId="0" fontId="5" fillId="0" borderId="0" xfId="0" applyFont="1"/>
    <xf numFmtId="0" fontId="6" fillId="3" borderId="5" xfId="0" applyFont="1" applyFill="1" applyBorder="1" applyAlignment="1">
      <alignment horizontal="center"/>
    </xf>
    <xf numFmtId="0" fontId="1" fillId="2" borderId="9" xfId="0" applyFont="1" applyFill="1" applyBorder="1" applyAlignment="1">
      <alignment wrapText="1"/>
    </xf>
  </cellXfs>
  <cellStyles count="1">
    <cellStyle name="Normal" xfId="0" builtinId="0"/>
  </cellStyles>
  <dxfs count="94"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1F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1F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bgColor auto="1"/>
        </patternFill>
      </fill>
    </dxf>
    <dxf>
      <numFmt numFmtId="15" formatCode="0.00E+0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5" formatCode="0.00E+00"/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1F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5" formatCode="0.00E+00"/>
      <fill>
        <patternFill patternType="none">
          <fgColor indexed="64"/>
          <bgColor auto="1"/>
        </patternFill>
      </fill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5" formatCode="0.00E+00"/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1F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3B0E85C-F1D2-473B-BBA6-0B42C9F5C76C}" name="Table1425242659101115" displayName="Table1425242659101115" ref="B1:Y4" totalsRowShown="0" headerRowDxfId="93" dataDxfId="91" headerRowBorderDxfId="92" tableBorderDxfId="90">
  <autoFilter ref="B1:Y4" xr:uid="{B66289F7-305B-422B-8212-0D325E211BC3}"/>
  <sortState xmlns:xlrd2="http://schemas.microsoft.com/office/spreadsheetml/2017/richdata2" ref="B2:F4">
    <sortCondition ref="E1:E4"/>
  </sortState>
  <tableColumns count="24">
    <tableColumn id="1" xr3:uid="{B7979336-98C0-477C-9CD1-CB5032A0B07E}" name="LCA algebraic name" dataDxfId="89"/>
    <tableColumn id="2" xr3:uid="{7F52CE1F-A249-4C69-80E8-2F925BF8A0AA}" name="Reference in inventory" dataDxfId="88"/>
    <tableColumn id="3" xr3:uid="{D1F3691B-B4D0-4681-A142-3B8DAFE26EA5}" name="Qty" dataDxfId="87"/>
    <tableColumn id="5" xr3:uid="{6A8A0E4D-0A53-4B2C-8EE9-DA6BAD7BA1B9}" name="Unit" dataDxfId="86"/>
    <tableColumn id="4" xr3:uid="{20EC029B-9B8C-4A85-A1D9-6D1B7BF9F0AA}" name="Amount" dataDxfId="85"/>
    <tableColumn id="6" xr3:uid="{7A85DF20-0CE5-402D-92DD-F5118A6D69DA}" name="Total Qty (Qty*Amount)" dataDxfId="84">
      <calculatedColumnFormula xml:space="preserve"> D2*F2</calculatedColumnFormula>
    </tableColumn>
    <tableColumn id="9" xr3:uid="{2221C18D-DF6A-4787-8E35-EFF223D64CFD}" name="parameter number" dataDxfId="83"/>
    <tableColumn id="10" xr3:uid="{0C300220-60D4-417B-A94E-2AC2E4867178}" name="Type" dataDxfId="82"/>
    <tableColumn id="11" xr3:uid="{B2847622-3D23-4EF1-93B0-EB5FB60F518C}" name="Default" dataDxfId="81">
      <calculatedColumnFormula>G2</calculatedColumnFormula>
    </tableColumn>
    <tableColumn id="12" xr3:uid="{6F8719DE-E792-451C-A21E-E7EA467663A8}" name="Min" dataDxfId="80">
      <calculatedColumnFormula xml:space="preserve"> G2/2</calculatedColumnFormula>
    </tableColumn>
    <tableColumn id="13" xr3:uid="{E27B2419-06F4-433B-A2A9-F28C32F3F06B}" name="Max" dataDxfId="79">
      <calculatedColumnFormula>G2*2</calculatedColumnFormula>
    </tableColumn>
    <tableColumn id="14" xr3:uid="{C086A8E5-0640-43E6-9BA9-42BA4981D120}" name="Std" dataDxfId="78"/>
    <tableColumn id="15" xr3:uid="{FAA950D1-0D0A-429C-9A59-5CA01E3F31B1}" name="Distrib" dataDxfId="77"/>
    <tableColumn id="16" xr3:uid="{736A10C4-F922-4616-9357-63C83465578A}" name="Description" dataDxfId="76"/>
    <tableColumn id="17" xr3:uid="{66487BD2-6EE9-4B05-84D4-FDE3AE5A296A}" name="Label" dataDxfId="75"/>
    <tableColumn id="18" xr3:uid="{616AB762-A195-4233-A457-9EFFFB8D13D3}" name="Values" dataDxfId="74"/>
    <tableColumn id="19" xr3:uid="{E65415E9-698E-4BA4-8FD0-229B31E11D00}" name="Weight" dataDxfId="73"/>
    <tableColumn id="20" xr3:uid="{B4562602-6F59-4F3D-9113-DD9611B2D9B2}" name="datasheet" dataDxfId="72"/>
    <tableColumn id="21" xr3:uid="{C35A5C27-44C3-40DE-A572-013325B2DD9B}" name="Note" dataDxfId="71"/>
    <tableColumn id="22" xr3:uid="{E9D3ED65-6CEE-42C1-9DDE-A46AE5A383E7}" name="EI activity name" dataDxfId="70"/>
    <tableColumn id="23" xr3:uid="{5FD743E8-DC31-4733-9B3F-D1230D95A2D9}" name="Custom process name" dataDxfId="69"/>
    <tableColumn id="7" xr3:uid="{1F76A985-4FF1-4B48-8F13-0D65089AB01F}" name="loc" dataDxfId="68"/>
    <tableColumn id="8" xr3:uid="{82EB5F94-9F31-4E1F-9BAF-2FF1B4F09574}" name="Modified process name" dataDxfId="67"/>
    <tableColumn id="24" xr3:uid="{96B67B3E-A9EF-426A-81A3-AB66F8D429BC}" name="Comment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BC553B6-7478-446F-8561-99F56C71FBED}" name="Table1425242659101117222319" displayName="Table1425242659101117222319" ref="B1:Y2" totalsRowShown="0" headerRowDxfId="65" headerRowBorderDxfId="64" tableBorderDxfId="63">
  <autoFilter ref="B1:Y2" xr:uid="{B7D4A546-5002-4F95-9A75-E5D2FCA2756B}"/>
  <sortState xmlns:xlrd2="http://schemas.microsoft.com/office/spreadsheetml/2017/richdata2" ref="B2:F2">
    <sortCondition ref="E1:E2"/>
  </sortState>
  <tableColumns count="24">
    <tableColumn id="1" xr3:uid="{CE1F02C7-19EE-4DBD-A9A1-80AC44373C7E}" name="LCA algebraic name" dataDxfId="62"/>
    <tableColumn id="2" xr3:uid="{FE716B71-D265-4C8B-81CE-6B3D7074371F}" name="Reference in inventory" dataDxfId="61"/>
    <tableColumn id="3" xr3:uid="{08E9F2EF-091E-4D58-8B5D-981D7BBCA860}" name="Qty" dataDxfId="60"/>
    <tableColumn id="5" xr3:uid="{49E78FF3-FCFA-4C48-9F28-D829286C0112}" name="Unit" dataDxfId="59"/>
    <tableColumn id="4" xr3:uid="{D024283D-782D-4A51-B35F-1845AC76CB5A}" name="Amount" dataDxfId="58"/>
    <tableColumn id="6" xr3:uid="{64329CFA-CE22-419B-8622-1E13496C1D70}" name="Total Qty (Qty*Amount)">
      <calculatedColumnFormula xml:space="preserve"> D2*F2</calculatedColumnFormula>
    </tableColumn>
    <tableColumn id="9" xr3:uid="{92CE0EE5-913E-48D4-883C-5CFEFBA6113B}" name="parameter number"/>
    <tableColumn id="10" xr3:uid="{0799B010-C7B3-4E01-A3D6-612540DA946A}" name="Type"/>
    <tableColumn id="11" xr3:uid="{38E3AB4B-FBD7-4D10-9CF2-380ADF6F24F6}" name="Default" dataDxfId="57">
      <calculatedColumnFormula>G2</calculatedColumnFormula>
    </tableColumn>
    <tableColumn id="12" xr3:uid="{BC232226-CDBA-47A1-8A77-8A22816FE774}" name="Min" dataDxfId="56"/>
    <tableColumn id="13" xr3:uid="{0378FBAE-CDD2-4B84-9592-E3F4FE4A5E22}" name="Max" dataDxfId="55"/>
    <tableColumn id="14" xr3:uid="{C549FDFF-2AB0-4485-871C-8FD7A6709A3A}" name="Std" dataDxfId="54"/>
    <tableColumn id="15" xr3:uid="{BE7166DB-A401-46F5-9A66-EC32AB269883}" name="Distrib" dataDxfId="53"/>
    <tableColumn id="16" xr3:uid="{ED9D74D8-E323-4862-95FF-2CBA298858B1}" name="Description" dataDxfId="52"/>
    <tableColumn id="17" xr3:uid="{52D73BF5-CCDF-4C15-8ED8-BA5420EDBF32}" name="Label" dataDxfId="51"/>
    <tableColumn id="18" xr3:uid="{B1B8BF90-B7A9-4CFC-982F-EE3793CC552A}" name="Values"/>
    <tableColumn id="19" xr3:uid="{61828FD8-6AAD-47A5-8DAE-8922E0D86FEA}" name="Weight"/>
    <tableColumn id="20" xr3:uid="{A3AA70C3-CB0D-4478-BE4D-F68941CEBE84}" name="datasheet"/>
    <tableColumn id="21" xr3:uid="{4254A551-6C46-4D18-8207-71AF860368FF}" name="Note" dataDxfId="50"/>
    <tableColumn id="22" xr3:uid="{53C1FC0B-89BA-489B-B415-206A8A356B82}" name="EI activity name" dataDxfId="49"/>
    <tableColumn id="23" xr3:uid="{06B3DF06-6FE6-46BE-92B3-A53E9AA70409}" name="Custom process name"/>
    <tableColumn id="7" xr3:uid="{2F932816-1595-462D-93D5-07327AEA91C7}" name="loc"/>
    <tableColumn id="8" xr3:uid="{F3EA94C2-303B-494D-A4A4-DA207D8E8AC3}" name="Modified process name"/>
    <tableColumn id="24" xr3:uid="{678A4CD8-10C9-472A-A5B2-2DE4FA87ACE0}" name="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F5BEA5A-1113-49FF-B24B-E09ED08ED594}" name="Table1425242659101117222320" displayName="Table1425242659101117222320" ref="B1:Y16" totalsRowShown="0" headerRowDxfId="48" headerRowBorderDxfId="47" tableBorderDxfId="46">
  <autoFilter ref="B1:Y16" xr:uid="{D18E02F6-1A56-474E-B5C6-3B0E681251F6}"/>
  <sortState xmlns:xlrd2="http://schemas.microsoft.com/office/spreadsheetml/2017/richdata2" ref="B2:F16">
    <sortCondition ref="E1:E16"/>
  </sortState>
  <tableColumns count="24">
    <tableColumn id="1" xr3:uid="{2DD75D84-9A52-4473-BBB6-5C276D020777}" name="LCA algebraic name" dataDxfId="45"/>
    <tableColumn id="2" xr3:uid="{F5ECD178-91FD-4E24-8597-CBE2773B7AD8}" name="Reference in inventory" dataDxfId="44"/>
    <tableColumn id="3" xr3:uid="{4B11E3A1-A621-4E0C-BFE0-9242D5E90B8A}" name="Qty" dataDxfId="43"/>
    <tableColumn id="5" xr3:uid="{AA3CBB5E-4E1F-454F-B68C-5EF5B702A4BF}" name="Unit" dataDxfId="42"/>
    <tableColumn id="4" xr3:uid="{D29F1975-CBC8-4B1C-969B-E075470E75DD}" name="Amount" dataDxfId="41"/>
    <tableColumn id="6" xr3:uid="{DD22121B-2A41-4651-8EB2-A9520402D241}" name="Total Qty (Qty*Amount)">
      <calculatedColumnFormula xml:space="preserve"> D2*F2</calculatedColumnFormula>
    </tableColumn>
    <tableColumn id="9" xr3:uid="{ECAC6D3F-9286-4283-99EB-AA1FDE86A842}" name="parameter number"/>
    <tableColumn id="10" xr3:uid="{C1E54487-7D9B-4297-8320-21FF83322655}" name="Type"/>
    <tableColumn id="11" xr3:uid="{001034AA-7845-4E54-A73D-CEC2F1994718}" name="Default" dataDxfId="40">
      <calculatedColumnFormula>G2</calculatedColumnFormula>
    </tableColumn>
    <tableColumn id="12" xr3:uid="{13576435-D022-4302-AF6D-79B60341AA25}" name="Min"/>
    <tableColumn id="13" xr3:uid="{986EA395-0A6D-4E66-B308-621445B2340E}" name="Max"/>
    <tableColumn id="14" xr3:uid="{8A5CC03A-5CD8-44D0-987C-3B16551285D7}" name="Std"/>
    <tableColumn id="15" xr3:uid="{C2B08E25-85C6-4D83-9AE5-2F1E954E2489}" name="Distrib"/>
    <tableColumn id="16" xr3:uid="{DE89DF3D-F247-4678-84BC-450A1FA5B25D}" name="Description" dataDxfId="39"/>
    <tableColumn id="17" xr3:uid="{8A179FF3-B122-4348-9E70-38E0B55F5395}" name="Label" dataDxfId="38"/>
    <tableColumn id="18" xr3:uid="{52A4C2C0-9CD0-406E-A863-31B47756DF3C}" name="Values"/>
    <tableColumn id="19" xr3:uid="{7069126E-A126-4640-8195-F31E129E13C7}" name="Weight"/>
    <tableColumn id="20" xr3:uid="{A50AFB37-447F-477F-8A75-BA74B081C4DD}" name="datasheet"/>
    <tableColumn id="21" xr3:uid="{B475B363-EA94-4714-AF7C-5CB2337F765B}" name="Note" dataDxfId="37"/>
    <tableColumn id="22" xr3:uid="{57195916-84BE-4BA6-A620-D5E7F268D64A}" name="EI activity name" dataDxfId="36"/>
    <tableColumn id="23" xr3:uid="{7BC96871-315B-4EB1-88ED-97826B1B5C30}" name="Custom process name"/>
    <tableColumn id="7" xr3:uid="{6221C8D0-7E1C-42D4-AC67-EF77C691643B}" name="loc"/>
    <tableColumn id="8" xr3:uid="{0A74DD8C-19EE-446E-828F-C1A097F44EF1}" name="Modified process name"/>
    <tableColumn id="24" xr3:uid="{C6BC9C0C-449A-4467-84CD-1E4CAEFCABDD}" name="Com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17297F6-F988-4733-9ED3-89407CC5E461}" name="Table14252426591028" displayName="Table14252426591028" ref="B1:Y27" totalsRowShown="0" headerRowDxfId="35" dataDxfId="33" headerRowBorderDxfId="34" tableBorderDxfId="32">
  <autoFilter ref="B1:Y27" xr:uid="{F1B82594-9538-466F-B195-8D13378DCB64}"/>
  <sortState xmlns:xlrd2="http://schemas.microsoft.com/office/spreadsheetml/2017/richdata2" ref="B2:F27">
    <sortCondition ref="E1:E27"/>
  </sortState>
  <tableColumns count="24">
    <tableColumn id="1" xr3:uid="{8CBE6635-61C0-473D-B43D-E7442F691269}" name="LCA algebraic name" dataDxfId="31"/>
    <tableColumn id="2" xr3:uid="{BD74BDF8-B91D-44D8-9274-2371E708C22D}" name="Reference in inventory" dataDxfId="30"/>
    <tableColumn id="3" xr3:uid="{7FADD464-DCBC-4330-8BC7-8734F73EDF55}" name="Qty" dataDxfId="29"/>
    <tableColumn id="5" xr3:uid="{32294BBF-25A4-48D6-B133-5CA2324FAED1}" name="Unit" dataDxfId="28"/>
    <tableColumn id="4" xr3:uid="{C00AFDF6-DA34-4192-A5D0-8804D3183939}" name="Amount" dataDxfId="27"/>
    <tableColumn id="6" xr3:uid="{F3C6CB27-A4B1-45CB-BFAB-94B932BC5A40}" name="Total Qty (Qty*Amount)" dataDxfId="26">
      <calculatedColumnFormula xml:space="preserve"> D2*F2</calculatedColumnFormula>
    </tableColumn>
    <tableColumn id="9" xr3:uid="{D783ECC9-B500-4375-A12F-D01B1EC3C165}" name="parameter number" dataDxfId="25"/>
    <tableColumn id="10" xr3:uid="{27426840-EABA-4ECC-98F0-CEB26AE79C70}" name="Type" dataDxfId="24"/>
    <tableColumn id="11" xr3:uid="{C66ED019-A798-4609-9413-7123FBEC7EE2}" name="Default" dataDxfId="23">
      <calculatedColumnFormula>G2</calculatedColumnFormula>
    </tableColumn>
    <tableColumn id="12" xr3:uid="{1A4879A7-C78F-4C5A-9372-301C2E82A83B}" name="Min" dataDxfId="22">
      <calculatedColumnFormula xml:space="preserve"> J2*0.8</calculatedColumnFormula>
    </tableColumn>
    <tableColumn id="13" xr3:uid="{C2830419-0482-4AB8-BF9D-E65648B3C26D}" name="Max" dataDxfId="21">
      <calculatedColumnFormula xml:space="preserve"> J2*4</calculatedColumnFormula>
    </tableColumn>
    <tableColumn id="14" xr3:uid="{3CEBAA8C-B34C-4773-AE30-9CE8A1333B95}" name="Std" dataDxfId="20"/>
    <tableColumn id="15" xr3:uid="{6420B6AF-81F6-44F2-9743-775D9DB306BB}" name="Distrib" dataDxfId="19"/>
    <tableColumn id="16" xr3:uid="{C01C9A08-2C08-4633-84EE-7D86108CBC87}" name="Description" dataDxfId="18"/>
    <tableColumn id="17" xr3:uid="{74DE95A5-53CB-4272-B48E-57493CB8ED15}" name="Label" dataDxfId="17"/>
    <tableColumn id="18" xr3:uid="{BDB3F668-5565-43DA-9099-46335971F621}" name="Values" dataDxfId="16"/>
    <tableColumn id="19" xr3:uid="{F80A7EA4-4264-4A6C-8822-D1F97836304B}" name="Weight" dataDxfId="15"/>
    <tableColumn id="20" xr3:uid="{3FD2631B-86AE-4164-A017-19E80306E52B}" name="datasheet" dataDxfId="14"/>
    <tableColumn id="21" xr3:uid="{CC316781-F706-4EE2-AFE8-179D9381F4D7}" name="Note" dataDxfId="13"/>
    <tableColumn id="22" xr3:uid="{D970D557-28F7-4507-9010-65FAF81751A0}" name="EI activity name" dataDxfId="12"/>
    <tableColumn id="23" xr3:uid="{966EFAE8-F585-4ADA-830C-DE3372A4F5E7}" name="Custom process name" dataDxfId="11"/>
    <tableColumn id="7" xr3:uid="{F5199127-D439-4633-A7EC-822CBA505C86}" name="loc" dataDxfId="10"/>
    <tableColumn id="8" xr3:uid="{F452CB45-6741-43F5-A08A-024A85FA7336}" name="Modified process name" dataDxfId="9"/>
    <tableColumn id="24" xr3:uid="{AEF5C525-4BA9-4884-9D8F-F543974EC675}" name="Comment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00B4-A406-40ED-B074-7AE284CE8F2A}">
  <sheetPr>
    <tabColor theme="9" tint="0.39997558519241921"/>
  </sheetPr>
  <dimension ref="A1:Y5"/>
  <sheetViews>
    <sheetView tabSelected="1" topLeftCell="J1" workbookViewId="0">
      <selection activeCell="U2" sqref="U2"/>
    </sheetView>
  </sheetViews>
  <sheetFormatPr defaultColWidth="9.140625" defaultRowHeight="15" x14ac:dyDescent="0.25"/>
  <cols>
    <col min="1" max="1" width="23.7109375" customWidth="1"/>
    <col min="2" max="2" width="27" customWidth="1"/>
    <col min="3" max="3" width="23.28515625" customWidth="1"/>
    <col min="4" max="4" width="8.140625" bestFit="1" customWidth="1"/>
    <col min="5" max="5" width="6.7109375" bestFit="1" customWidth="1"/>
    <col min="6" max="6" width="9.85546875" customWidth="1"/>
    <col min="7" max="7" width="14.140625" bestFit="1" customWidth="1"/>
    <col min="8" max="8" width="26.85546875" customWidth="1"/>
    <col min="9" max="9" width="7.28515625" bestFit="1" customWidth="1"/>
    <col min="10" max="10" width="9.28515625" bestFit="1" customWidth="1"/>
    <col min="11" max="11" width="10" bestFit="1" customWidth="1"/>
    <col min="12" max="12" width="6.85546875" bestFit="1" customWidth="1"/>
    <col min="13" max="13" width="6" bestFit="1" customWidth="1"/>
    <col min="14" max="14" width="9.28515625" bestFit="1" customWidth="1"/>
    <col min="15" max="15" width="21.28515625" customWidth="1"/>
    <col min="16" max="16" width="28.5703125" customWidth="1"/>
    <col min="17" max="17" width="4.5703125" customWidth="1"/>
    <col min="18" max="18" width="5" customWidth="1"/>
    <col min="19" max="19" width="11.5703125" bestFit="1" customWidth="1"/>
    <col min="20" max="20" width="16.42578125" customWidth="1"/>
    <col min="21" max="21" width="45.28515625" bestFit="1" customWidth="1"/>
    <col min="22" max="22" width="5.7109375" bestFit="1" customWidth="1"/>
  </cols>
  <sheetData>
    <row r="1" spans="1:25" ht="30" x14ac:dyDescent="0.25">
      <c r="A1" s="6" t="s">
        <v>0</v>
      </c>
      <c r="B1" s="4" t="s">
        <v>28</v>
      </c>
      <c r="C1" s="4" t="s">
        <v>7</v>
      </c>
      <c r="D1" s="1" t="s">
        <v>4</v>
      </c>
      <c r="E1" s="1" t="s">
        <v>3</v>
      </c>
      <c r="F1" s="1" t="s">
        <v>5</v>
      </c>
      <c r="G1" s="7" t="s">
        <v>9</v>
      </c>
      <c r="H1" s="7" t="s">
        <v>155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12</v>
      </c>
      <c r="Q1" s="7" t="s">
        <v>20</v>
      </c>
      <c r="R1" s="7" t="s">
        <v>21</v>
      </c>
      <c r="S1" s="7" t="s">
        <v>1</v>
      </c>
      <c r="T1" s="7" t="s">
        <v>2</v>
      </c>
      <c r="U1" s="2" t="s">
        <v>8</v>
      </c>
      <c r="V1" s="23" t="s">
        <v>156</v>
      </c>
      <c r="W1" s="8" t="s">
        <v>24</v>
      </c>
      <c r="X1" s="8" t="s">
        <v>158</v>
      </c>
      <c r="Y1" s="24" t="s">
        <v>157</v>
      </c>
    </row>
    <row r="2" spans="1:25" x14ac:dyDescent="0.25">
      <c r="A2" s="14" t="s">
        <v>43</v>
      </c>
      <c r="B2" s="14" t="s">
        <v>46</v>
      </c>
      <c r="C2" s="3"/>
      <c r="D2" s="3">
        <v>20</v>
      </c>
      <c r="E2" s="5" t="s">
        <v>41</v>
      </c>
      <c r="F2">
        <v>1</v>
      </c>
      <c r="G2">
        <v>20</v>
      </c>
      <c r="H2">
        <v>1</v>
      </c>
      <c r="I2" t="s">
        <v>23</v>
      </c>
      <c r="J2">
        <f>G2</f>
        <v>20</v>
      </c>
      <c r="K2">
        <v>7.15</v>
      </c>
      <c r="L2">
        <v>88.6</v>
      </c>
      <c r="N2" t="s">
        <v>22</v>
      </c>
      <c r="P2" s="14" t="s">
        <v>46</v>
      </c>
      <c r="S2" t="s">
        <v>6</v>
      </c>
      <c r="U2" s="16" t="s">
        <v>51</v>
      </c>
      <c r="W2" t="s">
        <v>25</v>
      </c>
    </row>
    <row r="3" spans="1:25" ht="16.5" x14ac:dyDescent="0.3">
      <c r="A3" s="14" t="s">
        <v>44</v>
      </c>
      <c r="B3" s="14" t="s">
        <v>47</v>
      </c>
      <c r="C3" s="12"/>
      <c r="D3" s="3">
        <v>0.12221</v>
      </c>
      <c r="E3" s="5" t="s">
        <v>30</v>
      </c>
      <c r="F3">
        <v>1</v>
      </c>
      <c r="G3">
        <f t="shared" ref="G3:G4" si="0" xml:space="preserve"> D3*F3</f>
        <v>0.12221</v>
      </c>
      <c r="H3">
        <v>2</v>
      </c>
      <c r="I3" t="s">
        <v>23</v>
      </c>
      <c r="J3">
        <f>G3</f>
        <v>0.12221</v>
      </c>
      <c r="K3">
        <v>3.0550000000000001E-2</v>
      </c>
      <c r="L3">
        <v>0.36664000000000002</v>
      </c>
      <c r="N3" t="s">
        <v>22</v>
      </c>
      <c r="P3" s="14" t="s">
        <v>47</v>
      </c>
      <c r="S3" t="s">
        <v>6</v>
      </c>
      <c r="U3" s="22" t="s">
        <v>52</v>
      </c>
      <c r="W3" t="s">
        <v>25</v>
      </c>
    </row>
    <row r="4" spans="1:25" x14ac:dyDescent="0.25">
      <c r="A4" s="9" t="s">
        <v>45</v>
      </c>
      <c r="B4" s="9" t="s">
        <v>48</v>
      </c>
      <c r="C4" s="12"/>
      <c r="D4" s="17">
        <v>1.55E-4</v>
      </c>
      <c r="E4" s="5" t="s">
        <v>30</v>
      </c>
      <c r="F4">
        <v>1</v>
      </c>
      <c r="G4">
        <f t="shared" si="0"/>
        <v>1.55E-4</v>
      </c>
      <c r="H4">
        <v>3</v>
      </c>
      <c r="I4" t="s">
        <v>23</v>
      </c>
      <c r="J4">
        <f t="shared" ref="J4" si="1">G4</f>
        <v>1.55E-4</v>
      </c>
      <c r="K4">
        <f xml:space="preserve"> J4/2</f>
        <v>7.75E-5</v>
      </c>
      <c r="L4">
        <f xml:space="preserve"> J4*2</f>
        <v>3.1E-4</v>
      </c>
      <c r="N4" t="s">
        <v>50</v>
      </c>
      <c r="P4" s="9" t="s">
        <v>48</v>
      </c>
      <c r="S4" t="s">
        <v>6</v>
      </c>
      <c r="T4" s="11"/>
      <c r="U4" s="16" t="s">
        <v>53</v>
      </c>
      <c r="W4" t="s">
        <v>25</v>
      </c>
    </row>
    <row r="5" spans="1:25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</sheetData>
  <conditionalFormatting sqref="D1:R1">
    <cfRule type="cellIs" dxfId="7" priority="1" operator="equal">
      <formula>"Elec"</formula>
    </cfRule>
    <cfRule type="cellIs" dxfId="6" priority="2" operator="equal">
      <formula>"Mech"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2F3E-0073-4312-A13D-6A10565CE167}">
  <sheetPr>
    <tabColor rgb="FF00B050"/>
  </sheetPr>
  <dimension ref="A1:Y4"/>
  <sheetViews>
    <sheetView topLeftCell="F1" zoomScale="85" zoomScaleNormal="85" workbookViewId="0">
      <selection activeCell="V1" sqref="V1:Y1"/>
    </sheetView>
  </sheetViews>
  <sheetFormatPr defaultColWidth="9.140625" defaultRowHeight="15" x14ac:dyDescent="0.25"/>
  <cols>
    <col min="1" max="1" width="30.7109375" customWidth="1"/>
    <col min="2" max="2" width="29.7109375" customWidth="1"/>
    <col min="3" max="3" width="23.28515625" customWidth="1"/>
    <col min="4" max="4" width="13.85546875" customWidth="1"/>
    <col min="5" max="5" width="6.7109375" bestFit="1" customWidth="1"/>
    <col min="6" max="6" width="9.85546875" customWidth="1"/>
    <col min="7" max="7" width="14.140625" bestFit="1" customWidth="1"/>
    <col min="8" max="8" width="27.42578125" customWidth="1"/>
    <col min="9" max="9" width="7.28515625" bestFit="1" customWidth="1"/>
    <col min="10" max="10" width="9.28515625" bestFit="1" customWidth="1"/>
    <col min="11" max="11" width="9.85546875" bestFit="1" customWidth="1"/>
    <col min="12" max="12" width="8.5703125" bestFit="1" customWidth="1"/>
    <col min="13" max="13" width="6" bestFit="1" customWidth="1"/>
    <col min="14" max="14" width="10.42578125" customWidth="1"/>
    <col min="15" max="15" width="6.5703125" customWidth="1"/>
    <col min="16" max="16" width="28.5703125" customWidth="1"/>
    <col min="17" max="17" width="4.5703125" customWidth="1"/>
    <col min="18" max="18" width="5" customWidth="1"/>
    <col min="19" max="19" width="5.140625" customWidth="1"/>
    <col min="20" max="20" width="24.85546875" customWidth="1"/>
    <col min="21" max="21" width="46.7109375" customWidth="1"/>
    <col min="22" max="22" width="8" customWidth="1"/>
  </cols>
  <sheetData>
    <row r="1" spans="1:25" ht="45" x14ac:dyDescent="0.25">
      <c r="A1" s="6" t="s">
        <v>0</v>
      </c>
      <c r="B1" s="4" t="s">
        <v>28</v>
      </c>
      <c r="C1" s="4" t="s">
        <v>7</v>
      </c>
      <c r="D1" s="1" t="s">
        <v>4</v>
      </c>
      <c r="E1" s="1" t="s">
        <v>3</v>
      </c>
      <c r="F1" s="1" t="s">
        <v>5</v>
      </c>
      <c r="G1" s="7" t="s">
        <v>9</v>
      </c>
      <c r="H1" s="7" t="s">
        <v>155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12</v>
      </c>
      <c r="Q1" s="7" t="s">
        <v>20</v>
      </c>
      <c r="R1" s="7" t="s">
        <v>21</v>
      </c>
      <c r="S1" s="7" t="s">
        <v>1</v>
      </c>
      <c r="T1" s="7" t="s">
        <v>2</v>
      </c>
      <c r="U1" s="2" t="s">
        <v>8</v>
      </c>
      <c r="V1" s="23" t="s">
        <v>156</v>
      </c>
      <c r="W1" s="8" t="s">
        <v>24</v>
      </c>
      <c r="X1" s="8" t="s">
        <v>158</v>
      </c>
      <c r="Y1" s="24" t="s">
        <v>157</v>
      </c>
    </row>
    <row r="2" spans="1:25" ht="30" x14ac:dyDescent="0.25">
      <c r="A2" s="15" t="s">
        <v>92</v>
      </c>
      <c r="B2" s="15" t="s">
        <v>93</v>
      </c>
      <c r="C2" s="3" t="s">
        <v>6</v>
      </c>
      <c r="D2" s="20">
        <v>1</v>
      </c>
      <c r="E2" s="5" t="s">
        <v>31</v>
      </c>
      <c r="F2">
        <v>1</v>
      </c>
      <c r="G2" s="18">
        <f t="shared" ref="G2" si="0" xml:space="preserve"> D2*F2</f>
        <v>1</v>
      </c>
      <c r="H2">
        <v>1</v>
      </c>
      <c r="I2" t="s">
        <v>23</v>
      </c>
      <c r="J2" s="18">
        <f t="shared" ref="J2" si="1">G2</f>
        <v>1</v>
      </c>
      <c r="K2" s="18">
        <v>0.68</v>
      </c>
      <c r="L2" s="18">
        <v>1.31</v>
      </c>
      <c r="N2" t="s">
        <v>22</v>
      </c>
      <c r="P2" s="15" t="s">
        <v>93</v>
      </c>
      <c r="S2" t="s">
        <v>6</v>
      </c>
      <c r="U2" s="16" t="s">
        <v>96</v>
      </c>
      <c r="W2" t="s">
        <v>25</v>
      </c>
    </row>
    <row r="3" spans="1:2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5" x14ac:dyDescent="0.25">
      <c r="A4" s="21"/>
    </row>
  </sheetData>
  <conditionalFormatting sqref="D1:R1">
    <cfRule type="cellIs" dxfId="5" priority="1" operator="equal">
      <formula>"Elec"</formula>
    </cfRule>
    <cfRule type="cellIs" dxfId="4" priority="2" operator="equal">
      <formula>"Mech"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DE1C-2049-4749-B13D-316F6B43D034}">
  <sheetPr>
    <tabColor rgb="FF00B050"/>
  </sheetPr>
  <dimension ref="A1:Y18"/>
  <sheetViews>
    <sheetView topLeftCell="C1" zoomScale="88" workbookViewId="0">
      <selection activeCell="W2" sqref="W2:W16"/>
    </sheetView>
  </sheetViews>
  <sheetFormatPr defaultColWidth="9.140625" defaultRowHeight="15" x14ac:dyDescent="0.25"/>
  <cols>
    <col min="1" max="1" width="30.7109375" customWidth="1"/>
    <col min="2" max="2" width="29.7109375" customWidth="1"/>
    <col min="3" max="3" width="23.28515625" customWidth="1"/>
    <col min="4" max="4" width="13.85546875" customWidth="1"/>
    <col min="5" max="5" width="6.7109375" bestFit="1" customWidth="1"/>
    <col min="6" max="6" width="9.85546875" customWidth="1"/>
    <col min="7" max="7" width="14.140625" bestFit="1" customWidth="1"/>
    <col min="8" max="8" width="27.7109375" customWidth="1"/>
    <col min="9" max="9" width="7.28515625" bestFit="1" customWidth="1"/>
    <col min="10" max="10" width="9.28515625" bestFit="1" customWidth="1"/>
    <col min="11" max="11" width="9.85546875" bestFit="1" customWidth="1"/>
    <col min="12" max="12" width="8.5703125" bestFit="1" customWidth="1"/>
    <col min="13" max="13" width="6" bestFit="1" customWidth="1"/>
    <col min="14" max="14" width="10.42578125" customWidth="1"/>
    <col min="15" max="15" width="6.5703125" customWidth="1"/>
    <col min="16" max="16" width="28.5703125" customWidth="1"/>
    <col min="17" max="17" width="4.5703125" customWidth="1"/>
    <col min="18" max="18" width="5" customWidth="1"/>
    <col min="19" max="19" width="5.140625" customWidth="1"/>
    <col min="20" max="20" width="24.85546875" customWidth="1"/>
    <col min="21" max="21" width="46.7109375" customWidth="1"/>
    <col min="22" max="22" width="8" customWidth="1"/>
  </cols>
  <sheetData>
    <row r="1" spans="1:25" ht="45" x14ac:dyDescent="0.25">
      <c r="A1" s="6" t="s">
        <v>0</v>
      </c>
      <c r="B1" s="4" t="s">
        <v>28</v>
      </c>
      <c r="C1" s="4" t="s">
        <v>7</v>
      </c>
      <c r="D1" s="1" t="s">
        <v>4</v>
      </c>
      <c r="E1" s="1" t="s">
        <v>3</v>
      </c>
      <c r="F1" s="1" t="s">
        <v>5</v>
      </c>
      <c r="G1" s="7" t="s">
        <v>9</v>
      </c>
      <c r="H1" s="7" t="s">
        <v>155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12</v>
      </c>
      <c r="Q1" s="7" t="s">
        <v>20</v>
      </c>
      <c r="R1" s="7" t="s">
        <v>21</v>
      </c>
      <c r="S1" s="7" t="s">
        <v>1</v>
      </c>
      <c r="T1" s="7" t="s">
        <v>2</v>
      </c>
      <c r="U1" s="2" t="s">
        <v>8</v>
      </c>
      <c r="V1" s="23" t="s">
        <v>156</v>
      </c>
      <c r="W1" s="8" t="s">
        <v>24</v>
      </c>
      <c r="X1" s="8" t="s">
        <v>158</v>
      </c>
      <c r="Y1" s="24" t="s">
        <v>157</v>
      </c>
    </row>
    <row r="2" spans="1:25" x14ac:dyDescent="0.25">
      <c r="A2" s="14" t="s">
        <v>64</v>
      </c>
      <c r="B2" s="14" t="s">
        <v>65</v>
      </c>
      <c r="C2" s="3" t="s">
        <v>6</v>
      </c>
      <c r="D2" s="17">
        <v>8.6E-3</v>
      </c>
      <c r="E2" s="5" t="s">
        <v>30</v>
      </c>
      <c r="F2">
        <v>1</v>
      </c>
      <c r="G2" s="18">
        <f xml:space="preserve"> D2*F2</f>
        <v>8.6E-3</v>
      </c>
      <c r="H2">
        <v>1</v>
      </c>
      <c r="I2" t="s">
        <v>23</v>
      </c>
      <c r="J2" s="18">
        <f t="shared" ref="J2:J16" si="0">G2</f>
        <v>8.6E-3</v>
      </c>
      <c r="K2" s="18"/>
      <c r="L2" s="18"/>
      <c r="N2" t="s">
        <v>29</v>
      </c>
      <c r="P2" s="14" t="s">
        <v>65</v>
      </c>
      <c r="S2" t="s">
        <v>6</v>
      </c>
      <c r="U2" s="16" t="s">
        <v>54</v>
      </c>
      <c r="W2" t="s">
        <v>25</v>
      </c>
    </row>
    <row r="3" spans="1:25" x14ac:dyDescent="0.25">
      <c r="A3" s="15" t="s">
        <v>66</v>
      </c>
      <c r="B3" s="15" t="s">
        <v>67</v>
      </c>
      <c r="C3" s="3" t="s">
        <v>6</v>
      </c>
      <c r="D3" s="17">
        <v>8.2000000000000003E-2</v>
      </c>
      <c r="E3" s="5" t="s">
        <v>30</v>
      </c>
      <c r="F3">
        <v>1</v>
      </c>
      <c r="G3" s="18">
        <f t="shared" ref="G3:G16" si="1" xml:space="preserve"> D3*F3</f>
        <v>8.2000000000000003E-2</v>
      </c>
      <c r="H3">
        <v>2</v>
      </c>
      <c r="I3" t="s">
        <v>23</v>
      </c>
      <c r="J3" s="18">
        <f t="shared" si="0"/>
        <v>8.2000000000000003E-2</v>
      </c>
      <c r="K3" s="18"/>
      <c r="L3" s="18"/>
      <c r="N3" t="s">
        <v>29</v>
      </c>
      <c r="P3" s="15" t="s">
        <v>67</v>
      </c>
      <c r="S3" t="s">
        <v>6</v>
      </c>
      <c r="U3" s="16" t="s">
        <v>11</v>
      </c>
      <c r="W3" t="s">
        <v>25</v>
      </c>
    </row>
    <row r="4" spans="1:25" x14ac:dyDescent="0.25">
      <c r="A4" s="15" t="s">
        <v>68</v>
      </c>
      <c r="B4" s="15" t="s">
        <v>69</v>
      </c>
      <c r="C4" s="3" t="s">
        <v>6</v>
      </c>
      <c r="D4" s="19">
        <v>668.61</v>
      </c>
      <c r="E4" s="5" t="s">
        <v>41</v>
      </c>
      <c r="F4">
        <v>1</v>
      </c>
      <c r="G4" s="18">
        <f t="shared" si="1"/>
        <v>668.61</v>
      </c>
      <c r="H4">
        <v>3</v>
      </c>
      <c r="I4" t="s">
        <v>23</v>
      </c>
      <c r="J4" s="18">
        <f t="shared" si="0"/>
        <v>668.61</v>
      </c>
      <c r="K4" s="18"/>
      <c r="L4" s="18"/>
      <c r="N4" t="s">
        <v>29</v>
      </c>
      <c r="P4" s="15" t="s">
        <v>69</v>
      </c>
      <c r="S4" t="s">
        <v>6</v>
      </c>
      <c r="U4" s="16" t="s">
        <v>42</v>
      </c>
      <c r="W4" t="s">
        <v>25</v>
      </c>
    </row>
    <row r="5" spans="1:25" x14ac:dyDescent="0.25">
      <c r="A5" s="15" t="s">
        <v>70</v>
      </c>
      <c r="B5" s="15" t="s">
        <v>71</v>
      </c>
      <c r="C5" s="3" t="s">
        <v>6</v>
      </c>
      <c r="D5" s="17">
        <v>2E-8</v>
      </c>
      <c r="E5" s="5" t="s">
        <v>10</v>
      </c>
      <c r="F5">
        <v>1</v>
      </c>
      <c r="G5" s="18">
        <f t="shared" si="1"/>
        <v>2E-8</v>
      </c>
      <c r="H5">
        <v>4</v>
      </c>
      <c r="I5" t="s">
        <v>23</v>
      </c>
      <c r="J5" s="18">
        <f t="shared" si="0"/>
        <v>2E-8</v>
      </c>
      <c r="K5" s="17"/>
      <c r="L5" s="18"/>
      <c r="N5" t="s">
        <v>29</v>
      </c>
      <c r="P5" s="15" t="s">
        <v>71</v>
      </c>
      <c r="S5" t="s">
        <v>6</v>
      </c>
      <c r="U5" s="16" t="s">
        <v>55</v>
      </c>
      <c r="W5" t="s">
        <v>25</v>
      </c>
    </row>
    <row r="6" spans="1:25" x14ac:dyDescent="0.25">
      <c r="A6" s="15" t="s">
        <v>72</v>
      </c>
      <c r="B6" s="15" t="s">
        <v>73</v>
      </c>
      <c r="C6" s="3" t="s">
        <v>6</v>
      </c>
      <c r="D6" s="3">
        <v>0.4365</v>
      </c>
      <c r="E6" s="5" t="s">
        <v>30</v>
      </c>
      <c r="F6">
        <v>1</v>
      </c>
      <c r="G6" s="18">
        <f t="shared" si="1"/>
        <v>0.4365</v>
      </c>
      <c r="H6">
        <v>5</v>
      </c>
      <c r="I6" t="s">
        <v>23</v>
      </c>
      <c r="J6" s="18">
        <f t="shared" si="0"/>
        <v>0.4365</v>
      </c>
      <c r="K6" s="18"/>
      <c r="L6" s="18"/>
      <c r="N6" t="s">
        <v>29</v>
      </c>
      <c r="P6" s="15" t="s">
        <v>73</v>
      </c>
      <c r="S6" t="s">
        <v>6</v>
      </c>
      <c r="U6" s="16" t="s">
        <v>56</v>
      </c>
      <c r="W6" t="s">
        <v>25</v>
      </c>
    </row>
    <row r="7" spans="1:25" x14ac:dyDescent="0.25">
      <c r="A7" s="15" t="s">
        <v>74</v>
      </c>
      <c r="B7" s="15" t="s">
        <v>75</v>
      </c>
      <c r="C7" s="3" t="s">
        <v>6</v>
      </c>
      <c r="D7" s="17">
        <v>4.35E-4</v>
      </c>
      <c r="E7" s="5" t="s">
        <v>30</v>
      </c>
      <c r="F7">
        <v>1</v>
      </c>
      <c r="G7" s="18">
        <f t="shared" si="1"/>
        <v>4.35E-4</v>
      </c>
      <c r="H7">
        <v>6</v>
      </c>
      <c r="I7" t="s">
        <v>23</v>
      </c>
      <c r="J7" s="18">
        <f t="shared" si="0"/>
        <v>4.35E-4</v>
      </c>
      <c r="K7" s="18"/>
      <c r="L7" s="18"/>
      <c r="N7" t="s">
        <v>29</v>
      </c>
      <c r="P7" s="15" t="s">
        <v>75</v>
      </c>
      <c r="S7" t="s">
        <v>6</v>
      </c>
      <c r="U7" s="16" t="s">
        <v>57</v>
      </c>
      <c r="W7" t="s">
        <v>27</v>
      </c>
    </row>
    <row r="8" spans="1:25" x14ac:dyDescent="0.25">
      <c r="A8" s="15" t="s">
        <v>76</v>
      </c>
      <c r="B8" s="15" t="s">
        <v>77</v>
      </c>
      <c r="C8" s="3" t="s">
        <v>6</v>
      </c>
      <c r="D8" s="17">
        <v>2.065E-3</v>
      </c>
      <c r="E8" s="5" t="s">
        <v>30</v>
      </c>
      <c r="F8">
        <v>1</v>
      </c>
      <c r="G8" s="18">
        <f t="shared" si="1"/>
        <v>2.065E-3</v>
      </c>
      <c r="H8">
        <v>7</v>
      </c>
      <c r="I8" t="s">
        <v>23</v>
      </c>
      <c r="J8" s="18">
        <f t="shared" si="0"/>
        <v>2.065E-3</v>
      </c>
      <c r="K8" s="18"/>
      <c r="L8" s="18"/>
      <c r="N8" t="s">
        <v>29</v>
      </c>
      <c r="P8" s="15" t="s">
        <v>77</v>
      </c>
      <c r="S8" t="s">
        <v>6</v>
      </c>
      <c r="U8" s="16" t="s">
        <v>57</v>
      </c>
      <c r="W8" t="s">
        <v>26</v>
      </c>
    </row>
    <row r="9" spans="1:25" ht="30" x14ac:dyDescent="0.25">
      <c r="A9" s="15" t="s">
        <v>78</v>
      </c>
      <c r="B9" s="15" t="s">
        <v>79</v>
      </c>
      <c r="C9" s="3" t="s">
        <v>6</v>
      </c>
      <c r="D9" s="17">
        <v>0.31690000000000002</v>
      </c>
      <c r="E9" s="5" t="s">
        <v>30</v>
      </c>
      <c r="F9">
        <v>1</v>
      </c>
      <c r="G9" s="18">
        <f t="shared" si="1"/>
        <v>0.31690000000000002</v>
      </c>
      <c r="H9">
        <v>8</v>
      </c>
      <c r="I9" t="s">
        <v>23</v>
      </c>
      <c r="J9" s="18">
        <f t="shared" si="0"/>
        <v>0.31690000000000002</v>
      </c>
      <c r="K9" s="18"/>
      <c r="L9" s="18"/>
      <c r="N9" t="s">
        <v>29</v>
      </c>
      <c r="P9" s="15" t="s">
        <v>79</v>
      </c>
      <c r="S9" t="s">
        <v>6</v>
      </c>
      <c r="U9" s="16" t="s">
        <v>58</v>
      </c>
      <c r="W9" t="s">
        <v>25</v>
      </c>
    </row>
    <row r="10" spans="1:25" x14ac:dyDescent="0.25">
      <c r="A10" s="15" t="s">
        <v>80</v>
      </c>
      <c r="B10" s="15" t="s">
        <v>81</v>
      </c>
      <c r="C10" s="3" t="s">
        <v>6</v>
      </c>
      <c r="D10" s="20">
        <v>0</v>
      </c>
      <c r="E10" s="5" t="s">
        <v>30</v>
      </c>
      <c r="F10">
        <v>1</v>
      </c>
      <c r="G10" s="18">
        <f t="shared" si="1"/>
        <v>0</v>
      </c>
      <c r="H10">
        <v>9</v>
      </c>
      <c r="I10" t="s">
        <v>23</v>
      </c>
      <c r="J10" s="18">
        <f t="shared" si="0"/>
        <v>0</v>
      </c>
      <c r="K10" s="18"/>
      <c r="L10" s="20"/>
      <c r="N10" t="s">
        <v>29</v>
      </c>
      <c r="P10" s="15" t="s">
        <v>81</v>
      </c>
      <c r="S10" t="s">
        <v>6</v>
      </c>
      <c r="T10" t="s">
        <v>63</v>
      </c>
      <c r="U10" s="16" t="s">
        <v>49</v>
      </c>
      <c r="W10" t="s">
        <v>25</v>
      </c>
    </row>
    <row r="11" spans="1:25" ht="30" x14ac:dyDescent="0.25">
      <c r="A11" s="15" t="s">
        <v>82</v>
      </c>
      <c r="B11" s="15" t="s">
        <v>83</v>
      </c>
      <c r="C11" s="3" t="s">
        <v>6</v>
      </c>
      <c r="D11" s="20">
        <v>493</v>
      </c>
      <c r="E11" s="5" t="s">
        <v>62</v>
      </c>
      <c r="F11">
        <v>1</v>
      </c>
      <c r="G11" s="18">
        <f t="shared" si="1"/>
        <v>493</v>
      </c>
      <c r="H11">
        <v>10</v>
      </c>
      <c r="I11" t="s">
        <v>23</v>
      </c>
      <c r="J11" s="18">
        <f t="shared" si="0"/>
        <v>493</v>
      </c>
      <c r="K11" s="18"/>
      <c r="L11" s="18"/>
      <c r="N11" t="s">
        <v>29</v>
      </c>
      <c r="P11" s="15" t="s">
        <v>83</v>
      </c>
      <c r="S11" t="s">
        <v>6</v>
      </c>
      <c r="U11" s="16" t="s">
        <v>59</v>
      </c>
      <c r="W11" t="s">
        <v>25</v>
      </c>
    </row>
    <row r="12" spans="1:25" x14ac:dyDescent="0.25">
      <c r="A12" s="15" t="s">
        <v>84</v>
      </c>
      <c r="B12" s="15" t="s">
        <v>85</v>
      </c>
      <c r="C12" s="3" t="s">
        <v>6</v>
      </c>
      <c r="D12" s="20">
        <v>3.6999999999999998E-2</v>
      </c>
      <c r="E12" s="5" t="s">
        <v>30</v>
      </c>
      <c r="F12">
        <v>1</v>
      </c>
      <c r="G12" s="18">
        <f t="shared" si="1"/>
        <v>3.6999999999999998E-2</v>
      </c>
      <c r="H12">
        <v>11</v>
      </c>
      <c r="I12" t="s">
        <v>23</v>
      </c>
      <c r="J12" s="18">
        <f t="shared" si="0"/>
        <v>3.6999999999999998E-2</v>
      </c>
      <c r="K12" s="18"/>
      <c r="L12" s="18"/>
      <c r="N12" t="s">
        <v>29</v>
      </c>
      <c r="P12" s="15" t="s">
        <v>85</v>
      </c>
      <c r="S12" t="s">
        <v>6</v>
      </c>
      <c r="U12" s="16" t="s">
        <v>60</v>
      </c>
      <c r="W12" t="s">
        <v>25</v>
      </c>
    </row>
    <row r="13" spans="1:25" x14ac:dyDescent="0.25">
      <c r="A13" s="15" t="s">
        <v>86</v>
      </c>
      <c r="B13" s="15" t="s">
        <v>87</v>
      </c>
      <c r="C13" s="3" t="s">
        <v>6</v>
      </c>
      <c r="D13" s="20">
        <v>3.2799999999999999E-3</v>
      </c>
      <c r="E13" s="5" t="s">
        <v>30</v>
      </c>
      <c r="F13">
        <v>1</v>
      </c>
      <c r="G13" s="18">
        <f t="shared" si="1"/>
        <v>3.2799999999999999E-3</v>
      </c>
      <c r="H13">
        <v>12</v>
      </c>
      <c r="I13" t="s">
        <v>23</v>
      </c>
      <c r="J13" s="18">
        <f t="shared" si="0"/>
        <v>3.2799999999999999E-3</v>
      </c>
      <c r="K13" s="18"/>
      <c r="L13" s="18"/>
      <c r="N13" t="s">
        <v>29</v>
      </c>
      <c r="P13" s="15" t="s">
        <v>87</v>
      </c>
      <c r="S13" t="s">
        <v>6</v>
      </c>
      <c r="U13" s="16" t="s">
        <v>35</v>
      </c>
      <c r="W13" t="s">
        <v>25</v>
      </c>
    </row>
    <row r="14" spans="1:25" x14ac:dyDescent="0.25">
      <c r="A14" s="15" t="s">
        <v>88</v>
      </c>
      <c r="B14" s="15" t="s">
        <v>89</v>
      </c>
      <c r="C14" s="3" t="s">
        <v>6</v>
      </c>
      <c r="D14" s="20">
        <v>7.4999999999999997E-3</v>
      </c>
      <c r="E14" s="5" t="s">
        <v>30</v>
      </c>
      <c r="F14">
        <v>1</v>
      </c>
      <c r="G14" s="18">
        <f t="shared" si="1"/>
        <v>7.4999999999999997E-3</v>
      </c>
      <c r="H14">
        <v>13</v>
      </c>
      <c r="I14" t="s">
        <v>23</v>
      </c>
      <c r="J14" s="18">
        <f t="shared" si="0"/>
        <v>7.4999999999999997E-3</v>
      </c>
      <c r="K14" s="18"/>
      <c r="L14" s="18"/>
      <c r="N14" t="s">
        <v>29</v>
      </c>
      <c r="P14" s="15" t="s">
        <v>89</v>
      </c>
      <c r="S14" t="s">
        <v>6</v>
      </c>
      <c r="U14" s="16" t="s">
        <v>33</v>
      </c>
      <c r="W14" t="s">
        <v>25</v>
      </c>
    </row>
    <row r="15" spans="1:25" x14ac:dyDescent="0.25">
      <c r="A15" s="15" t="s">
        <v>90</v>
      </c>
      <c r="B15" s="15" t="s">
        <v>91</v>
      </c>
      <c r="C15" s="3" t="s">
        <v>6</v>
      </c>
      <c r="D15" s="20">
        <v>6.3E-2</v>
      </c>
      <c r="E15" s="5" t="s">
        <v>30</v>
      </c>
      <c r="F15">
        <v>1</v>
      </c>
      <c r="G15" s="18">
        <f t="shared" si="1"/>
        <v>6.3E-2</v>
      </c>
      <c r="H15">
        <v>14</v>
      </c>
      <c r="I15" t="s">
        <v>23</v>
      </c>
      <c r="J15" s="18">
        <f t="shared" si="0"/>
        <v>6.3E-2</v>
      </c>
      <c r="K15" s="18"/>
      <c r="L15" s="18"/>
      <c r="N15" t="s">
        <v>29</v>
      </c>
      <c r="P15" s="15" t="s">
        <v>91</v>
      </c>
      <c r="S15" t="s">
        <v>6</v>
      </c>
      <c r="U15" s="16" t="s">
        <v>61</v>
      </c>
      <c r="W15" t="s">
        <v>25</v>
      </c>
    </row>
    <row r="16" spans="1:25" x14ac:dyDescent="0.25">
      <c r="A16" s="15" t="s">
        <v>94</v>
      </c>
      <c r="B16" s="15" t="s">
        <v>95</v>
      </c>
      <c r="C16" s="3" t="s">
        <v>6</v>
      </c>
      <c r="D16" s="20">
        <v>7.5599999999999999E-3</v>
      </c>
      <c r="E16" s="5" t="s">
        <v>30</v>
      </c>
      <c r="F16">
        <v>1</v>
      </c>
      <c r="G16" s="18">
        <f t="shared" si="1"/>
        <v>7.5599999999999999E-3</v>
      </c>
      <c r="H16">
        <v>15</v>
      </c>
      <c r="I16" t="s">
        <v>23</v>
      </c>
      <c r="J16" s="18">
        <f t="shared" si="0"/>
        <v>7.5599999999999999E-3</v>
      </c>
      <c r="K16" s="18"/>
      <c r="L16" s="18"/>
      <c r="N16" t="s">
        <v>29</v>
      </c>
      <c r="P16" s="15" t="s">
        <v>95</v>
      </c>
      <c r="S16" t="s">
        <v>6</v>
      </c>
      <c r="U16" s="16" t="s">
        <v>34</v>
      </c>
      <c r="W16" t="s">
        <v>25</v>
      </c>
    </row>
    <row r="17" spans="1:2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x14ac:dyDescent="0.25">
      <c r="A18" s="21"/>
    </row>
  </sheetData>
  <conditionalFormatting sqref="D1:R1">
    <cfRule type="cellIs" dxfId="3" priority="1" operator="equal">
      <formula>"Elec"</formula>
    </cfRule>
    <cfRule type="cellIs" dxfId="2" priority="2" operator="equal">
      <formula>"Mech"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1006-6DAB-4B72-A9EB-6CA9ED3943C9}">
  <sheetPr>
    <tabColor rgb="FF00B050"/>
  </sheetPr>
  <dimension ref="A1:Y28"/>
  <sheetViews>
    <sheetView topLeftCell="H1" zoomScale="89" workbookViewId="0">
      <selection activeCell="U35" sqref="U35"/>
    </sheetView>
  </sheetViews>
  <sheetFormatPr defaultColWidth="9.140625" defaultRowHeight="15" x14ac:dyDescent="0.25"/>
  <cols>
    <col min="1" max="1" width="27.42578125" customWidth="1"/>
    <col min="2" max="2" width="31.7109375" customWidth="1"/>
    <col min="3" max="3" width="10.42578125" customWidth="1"/>
    <col min="4" max="4" width="11.42578125" customWidth="1"/>
    <col min="5" max="5" width="6.7109375" bestFit="1" customWidth="1"/>
    <col min="6" max="6" width="9.85546875" customWidth="1"/>
    <col min="7" max="7" width="14.28515625" bestFit="1" customWidth="1"/>
    <col min="8" max="8" width="29.7109375" customWidth="1"/>
    <col min="9" max="9" width="7.28515625" bestFit="1" customWidth="1"/>
    <col min="10" max="10" width="9.42578125" bestFit="1" customWidth="1"/>
    <col min="11" max="11" width="7" bestFit="1" customWidth="1"/>
    <col min="12" max="12" width="7.7109375" bestFit="1" customWidth="1"/>
    <col min="13" max="13" width="6" bestFit="1" customWidth="1"/>
    <col min="14" max="14" width="9.28515625" bestFit="1" customWidth="1"/>
    <col min="15" max="15" width="12.7109375" customWidth="1"/>
    <col min="16" max="16" width="28.5703125" customWidth="1"/>
    <col min="17" max="17" width="4.5703125" customWidth="1"/>
    <col min="18" max="18" width="5" customWidth="1"/>
    <col min="19" max="19" width="11.5703125" bestFit="1" customWidth="1"/>
    <col min="20" max="20" width="49.7109375" customWidth="1"/>
    <col min="21" max="21" width="45.28515625" bestFit="1" customWidth="1"/>
    <col min="22" max="22" width="5.7109375" bestFit="1" customWidth="1"/>
  </cols>
  <sheetData>
    <row r="1" spans="1:25" ht="30" x14ac:dyDescent="0.25">
      <c r="A1" s="6" t="s">
        <v>0</v>
      </c>
      <c r="B1" s="4" t="s">
        <v>28</v>
      </c>
      <c r="C1" s="4" t="s">
        <v>7</v>
      </c>
      <c r="D1" s="1" t="s">
        <v>4</v>
      </c>
      <c r="E1" s="1" t="s">
        <v>3</v>
      </c>
      <c r="F1" s="1" t="s">
        <v>5</v>
      </c>
      <c r="G1" s="7" t="s">
        <v>9</v>
      </c>
      <c r="H1" s="7" t="s">
        <v>155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12</v>
      </c>
      <c r="Q1" s="7" t="s">
        <v>20</v>
      </c>
      <c r="R1" s="7" t="s">
        <v>21</v>
      </c>
      <c r="S1" s="7" t="s">
        <v>1</v>
      </c>
      <c r="T1" s="7" t="s">
        <v>2</v>
      </c>
      <c r="U1" s="2" t="s">
        <v>8</v>
      </c>
      <c r="V1" s="23" t="s">
        <v>156</v>
      </c>
      <c r="W1" s="8" t="s">
        <v>24</v>
      </c>
      <c r="X1" s="8" t="s">
        <v>158</v>
      </c>
      <c r="Y1" s="24" t="s">
        <v>157</v>
      </c>
    </row>
    <row r="2" spans="1:25" x14ac:dyDescent="0.25">
      <c r="A2" s="14" t="s">
        <v>121</v>
      </c>
      <c r="B2" s="14" t="s">
        <v>97</v>
      </c>
      <c r="C2" s="3"/>
      <c r="D2">
        <v>0.73780000000000001</v>
      </c>
      <c r="E2" s="5" t="s">
        <v>30</v>
      </c>
      <c r="F2">
        <v>1</v>
      </c>
      <c r="G2">
        <f t="shared" ref="G2:G27" si="0" xml:space="preserve"> D2*F2</f>
        <v>0.73780000000000001</v>
      </c>
      <c r="H2">
        <v>1</v>
      </c>
      <c r="I2" t="s">
        <v>23</v>
      </c>
      <c r="J2">
        <f t="shared" ref="J2:J27" si="1">G2</f>
        <v>0.73780000000000001</v>
      </c>
      <c r="K2">
        <f xml:space="preserve"> J2*0.8</f>
        <v>0.59023999999999999</v>
      </c>
      <c r="L2">
        <f xml:space="preserve"> J2*1.2</f>
        <v>0.88536000000000004</v>
      </c>
      <c r="N2" t="s">
        <v>50</v>
      </c>
      <c r="P2" s="14" t="s">
        <v>97</v>
      </c>
      <c r="S2" t="s">
        <v>6</v>
      </c>
      <c r="T2" t="s">
        <v>154</v>
      </c>
      <c r="U2" s="11" t="s">
        <v>152</v>
      </c>
      <c r="W2" t="s">
        <v>26</v>
      </c>
    </row>
    <row r="3" spans="1:25" x14ac:dyDescent="0.25">
      <c r="A3" s="14" t="s">
        <v>122</v>
      </c>
      <c r="B3" s="14" t="s">
        <v>98</v>
      </c>
      <c r="C3" s="12"/>
      <c r="D3" s="3">
        <v>2.4799999999999999E-2</v>
      </c>
      <c r="E3" s="5" t="s">
        <v>30</v>
      </c>
      <c r="F3">
        <v>1</v>
      </c>
      <c r="G3">
        <f t="shared" si="0"/>
        <v>2.4799999999999999E-2</v>
      </c>
      <c r="H3">
        <v>2</v>
      </c>
      <c r="I3" t="s">
        <v>23</v>
      </c>
      <c r="J3">
        <f t="shared" si="1"/>
        <v>2.4799999999999999E-2</v>
      </c>
      <c r="K3">
        <f t="shared" ref="K3:K27" si="2" xml:space="preserve"> J3*0.8</f>
        <v>1.984E-2</v>
      </c>
      <c r="L3">
        <f t="shared" ref="L3:L27" si="3" xml:space="preserve"> J3*1.2</f>
        <v>2.9759999999999998E-2</v>
      </c>
      <c r="N3" t="s">
        <v>50</v>
      </c>
      <c r="P3" s="14" t="s">
        <v>98</v>
      </c>
      <c r="S3" t="s">
        <v>6</v>
      </c>
      <c r="T3" t="s">
        <v>154</v>
      </c>
      <c r="U3" s="16" t="s">
        <v>145</v>
      </c>
      <c r="W3" t="s">
        <v>25</v>
      </c>
    </row>
    <row r="4" spans="1:25" x14ac:dyDescent="0.25">
      <c r="A4" s="14" t="s">
        <v>123</v>
      </c>
      <c r="B4" s="14" t="s">
        <v>99</v>
      </c>
      <c r="C4" s="12"/>
      <c r="D4" s="13">
        <v>4.5999999999999999E-3</v>
      </c>
      <c r="E4" s="5" t="s">
        <v>30</v>
      </c>
      <c r="F4">
        <v>1</v>
      </c>
      <c r="G4">
        <f t="shared" si="0"/>
        <v>4.5999999999999999E-3</v>
      </c>
      <c r="H4">
        <v>3</v>
      </c>
      <c r="I4" t="s">
        <v>23</v>
      </c>
      <c r="J4">
        <f t="shared" si="1"/>
        <v>4.5999999999999999E-3</v>
      </c>
      <c r="K4">
        <f t="shared" si="2"/>
        <v>3.6800000000000001E-3</v>
      </c>
      <c r="L4">
        <f t="shared" si="3"/>
        <v>5.5199999999999997E-3</v>
      </c>
      <c r="N4" t="s">
        <v>50</v>
      </c>
      <c r="P4" s="14" t="s">
        <v>99</v>
      </c>
      <c r="S4" t="s">
        <v>6</v>
      </c>
      <c r="T4" t="s">
        <v>154</v>
      </c>
      <c r="U4" s="11" t="s">
        <v>153</v>
      </c>
      <c r="W4" t="s">
        <v>26</v>
      </c>
    </row>
    <row r="5" spans="1:25" x14ac:dyDescent="0.25">
      <c r="A5" s="14" t="s">
        <v>124</v>
      </c>
      <c r="B5" s="14" t="s">
        <v>100</v>
      </c>
      <c r="C5" s="12"/>
      <c r="D5" s="13">
        <v>4.4000000000000003E-3</v>
      </c>
      <c r="E5" s="5" t="s">
        <v>30</v>
      </c>
      <c r="F5">
        <v>1</v>
      </c>
      <c r="G5">
        <f t="shared" si="0"/>
        <v>4.4000000000000003E-3</v>
      </c>
      <c r="H5">
        <v>4</v>
      </c>
      <c r="I5" t="s">
        <v>23</v>
      </c>
      <c r="J5">
        <f t="shared" si="1"/>
        <v>4.4000000000000003E-3</v>
      </c>
      <c r="K5">
        <f t="shared" si="2"/>
        <v>3.5200000000000006E-3</v>
      </c>
      <c r="L5">
        <f t="shared" si="3"/>
        <v>5.28E-3</v>
      </c>
      <c r="N5" t="s">
        <v>50</v>
      </c>
      <c r="P5" s="14" t="s">
        <v>100</v>
      </c>
      <c r="S5" t="s">
        <v>6</v>
      </c>
      <c r="T5" t="s">
        <v>154</v>
      </c>
      <c r="U5" s="11" t="s">
        <v>146</v>
      </c>
      <c r="W5" t="s">
        <v>25</v>
      </c>
    </row>
    <row r="6" spans="1:25" x14ac:dyDescent="0.25">
      <c r="A6" s="14" t="s">
        <v>125</v>
      </c>
      <c r="B6" s="14" t="s">
        <v>101</v>
      </c>
      <c r="C6" s="12"/>
      <c r="D6">
        <v>4.1999999999999997E-3</v>
      </c>
      <c r="E6" s="5" t="s">
        <v>30</v>
      </c>
      <c r="F6">
        <v>1</v>
      </c>
      <c r="G6">
        <f t="shared" si="0"/>
        <v>4.1999999999999997E-3</v>
      </c>
      <c r="H6">
        <v>5</v>
      </c>
      <c r="I6" t="s">
        <v>23</v>
      </c>
      <c r="J6">
        <f t="shared" si="1"/>
        <v>4.1999999999999997E-3</v>
      </c>
      <c r="K6">
        <f t="shared" si="2"/>
        <v>3.3600000000000001E-3</v>
      </c>
      <c r="L6">
        <f t="shared" si="3"/>
        <v>5.0399999999999993E-3</v>
      </c>
      <c r="N6" t="s">
        <v>50</v>
      </c>
      <c r="P6" s="14" t="s">
        <v>101</v>
      </c>
      <c r="S6" t="s">
        <v>6</v>
      </c>
      <c r="T6" t="s">
        <v>154</v>
      </c>
      <c r="U6" s="11" t="s">
        <v>147</v>
      </c>
      <c r="W6" t="s">
        <v>26</v>
      </c>
    </row>
    <row r="7" spans="1:25" x14ac:dyDescent="0.25">
      <c r="A7" s="14" t="s">
        <v>126</v>
      </c>
      <c r="B7" s="14" t="s">
        <v>102</v>
      </c>
      <c r="C7" s="12"/>
      <c r="D7">
        <v>4.4200000000000003E-2</v>
      </c>
      <c r="E7" s="5" t="s">
        <v>30</v>
      </c>
      <c r="F7">
        <v>1</v>
      </c>
      <c r="G7">
        <f t="shared" si="0"/>
        <v>4.4200000000000003E-2</v>
      </c>
      <c r="H7">
        <v>6</v>
      </c>
      <c r="I7" t="s">
        <v>23</v>
      </c>
      <c r="J7">
        <f t="shared" si="1"/>
        <v>4.4200000000000003E-2</v>
      </c>
      <c r="K7">
        <f t="shared" si="2"/>
        <v>3.5360000000000003E-2</v>
      </c>
      <c r="L7">
        <f t="shared" si="3"/>
        <v>5.3040000000000004E-2</v>
      </c>
      <c r="N7" t="s">
        <v>50</v>
      </c>
      <c r="P7" s="14" t="s">
        <v>102</v>
      </c>
      <c r="S7" t="s">
        <v>6</v>
      </c>
      <c r="T7" t="s">
        <v>154</v>
      </c>
      <c r="U7" s="11" t="s">
        <v>148</v>
      </c>
      <c r="W7" t="s">
        <v>25</v>
      </c>
    </row>
    <row r="8" spans="1:25" x14ac:dyDescent="0.25">
      <c r="A8" s="14" t="s">
        <v>127</v>
      </c>
      <c r="B8" s="14" t="s">
        <v>103</v>
      </c>
      <c r="C8" s="12"/>
      <c r="D8">
        <v>0.16020000000000001</v>
      </c>
      <c r="E8" s="5" t="s">
        <v>30</v>
      </c>
      <c r="F8">
        <v>1</v>
      </c>
      <c r="G8">
        <f t="shared" si="0"/>
        <v>0.16020000000000001</v>
      </c>
      <c r="H8">
        <v>7</v>
      </c>
      <c r="I8" t="s">
        <v>23</v>
      </c>
      <c r="J8" s="12">
        <f t="shared" si="1"/>
        <v>0.16020000000000001</v>
      </c>
      <c r="K8">
        <f t="shared" si="2"/>
        <v>0.12816000000000002</v>
      </c>
      <c r="L8">
        <f t="shared" si="3"/>
        <v>0.19223999999999999</v>
      </c>
      <c r="M8" s="12"/>
      <c r="N8" t="s">
        <v>50</v>
      </c>
      <c r="O8" s="12"/>
      <c r="P8" s="14" t="s">
        <v>103</v>
      </c>
      <c r="Q8" s="12"/>
      <c r="R8" s="12"/>
      <c r="S8" t="s">
        <v>6</v>
      </c>
      <c r="T8" t="s">
        <v>154</v>
      </c>
      <c r="U8" s="11" t="s">
        <v>149</v>
      </c>
      <c r="W8" s="12" t="s">
        <v>25</v>
      </c>
    </row>
    <row r="9" spans="1:25" x14ac:dyDescent="0.25">
      <c r="A9" s="14" t="s">
        <v>128</v>
      </c>
      <c r="B9" s="14" t="s">
        <v>104</v>
      </c>
      <c r="C9" s="12"/>
      <c r="D9">
        <v>5.0000000000000001E-3</v>
      </c>
      <c r="E9" s="5" t="s">
        <v>30</v>
      </c>
      <c r="F9">
        <v>1</v>
      </c>
      <c r="G9">
        <f t="shared" si="0"/>
        <v>5.0000000000000001E-3</v>
      </c>
      <c r="H9">
        <v>8</v>
      </c>
      <c r="I9" t="s">
        <v>23</v>
      </c>
      <c r="J9">
        <f t="shared" si="1"/>
        <v>5.0000000000000001E-3</v>
      </c>
      <c r="K9">
        <f t="shared" si="2"/>
        <v>4.0000000000000001E-3</v>
      </c>
      <c r="L9">
        <f t="shared" si="3"/>
        <v>6.0000000000000001E-3</v>
      </c>
      <c r="N9" t="s">
        <v>50</v>
      </c>
      <c r="P9" s="14" t="s">
        <v>104</v>
      </c>
      <c r="S9" t="s">
        <v>6</v>
      </c>
      <c r="T9" t="s">
        <v>154</v>
      </c>
      <c r="U9" s="11" t="s">
        <v>39</v>
      </c>
      <c r="W9" t="s">
        <v>25</v>
      </c>
    </row>
    <row r="10" spans="1:25" x14ac:dyDescent="0.25">
      <c r="A10" s="14" t="s">
        <v>129</v>
      </c>
      <c r="B10" s="14" t="s">
        <v>105</v>
      </c>
      <c r="C10" s="12"/>
      <c r="D10">
        <v>6.8000000000000005E-2</v>
      </c>
      <c r="E10" s="5" t="s">
        <v>30</v>
      </c>
      <c r="F10">
        <v>1</v>
      </c>
      <c r="G10">
        <f t="shared" si="0"/>
        <v>6.8000000000000005E-2</v>
      </c>
      <c r="H10">
        <v>9</v>
      </c>
      <c r="I10" t="s">
        <v>23</v>
      </c>
      <c r="J10">
        <f t="shared" si="1"/>
        <v>6.8000000000000005E-2</v>
      </c>
      <c r="K10">
        <f t="shared" si="2"/>
        <v>5.4400000000000004E-2</v>
      </c>
      <c r="L10">
        <f t="shared" si="3"/>
        <v>8.1600000000000006E-2</v>
      </c>
      <c r="N10" t="s">
        <v>50</v>
      </c>
      <c r="P10" s="14" t="s">
        <v>105</v>
      </c>
      <c r="S10" t="s">
        <v>6</v>
      </c>
      <c r="T10" t="s">
        <v>154</v>
      </c>
      <c r="U10" s="11" t="s">
        <v>33</v>
      </c>
      <c r="W10" t="s">
        <v>25</v>
      </c>
    </row>
    <row r="11" spans="1:25" x14ac:dyDescent="0.25">
      <c r="A11" s="14" t="s">
        <v>130</v>
      </c>
      <c r="B11" s="14" t="s">
        <v>106</v>
      </c>
      <c r="C11" s="12"/>
      <c r="D11">
        <v>2.64E-2</v>
      </c>
      <c r="E11" s="5" t="s">
        <v>30</v>
      </c>
      <c r="F11">
        <v>1</v>
      </c>
      <c r="G11">
        <f t="shared" si="0"/>
        <v>2.64E-2</v>
      </c>
      <c r="H11">
        <v>10</v>
      </c>
      <c r="I11" t="s">
        <v>23</v>
      </c>
      <c r="J11">
        <f t="shared" si="1"/>
        <v>2.64E-2</v>
      </c>
      <c r="K11">
        <f t="shared" si="2"/>
        <v>2.112E-2</v>
      </c>
      <c r="L11">
        <f t="shared" si="3"/>
        <v>3.168E-2</v>
      </c>
      <c r="N11" t="s">
        <v>50</v>
      </c>
      <c r="P11" s="14" t="s">
        <v>106</v>
      </c>
      <c r="S11" t="s">
        <v>6</v>
      </c>
      <c r="T11" t="s">
        <v>154</v>
      </c>
      <c r="U11" s="11" t="s">
        <v>32</v>
      </c>
      <c r="W11" t="s">
        <v>25</v>
      </c>
    </row>
    <row r="12" spans="1:25" x14ac:dyDescent="0.25">
      <c r="A12" s="14" t="s">
        <v>131</v>
      </c>
      <c r="B12" s="14" t="s">
        <v>107</v>
      </c>
      <c r="C12" s="12"/>
      <c r="D12">
        <v>0.20180000000000001</v>
      </c>
      <c r="E12" s="5" t="s">
        <v>30</v>
      </c>
      <c r="F12">
        <v>1</v>
      </c>
      <c r="G12">
        <f t="shared" si="0"/>
        <v>0.20180000000000001</v>
      </c>
      <c r="H12">
        <v>11</v>
      </c>
      <c r="I12" t="s">
        <v>23</v>
      </c>
      <c r="J12">
        <f t="shared" si="1"/>
        <v>0.20180000000000001</v>
      </c>
      <c r="K12">
        <f t="shared" si="2"/>
        <v>0.16144000000000003</v>
      </c>
      <c r="L12">
        <f t="shared" si="3"/>
        <v>0.24215999999999999</v>
      </c>
      <c r="N12" t="s">
        <v>50</v>
      </c>
      <c r="P12" s="14" t="s">
        <v>107</v>
      </c>
      <c r="S12" t="s">
        <v>6</v>
      </c>
      <c r="T12" t="s">
        <v>154</v>
      </c>
      <c r="U12" s="11" t="s">
        <v>150</v>
      </c>
      <c r="W12" t="s">
        <v>25</v>
      </c>
    </row>
    <row r="13" spans="1:25" x14ac:dyDescent="0.25">
      <c r="A13" s="14" t="s">
        <v>132</v>
      </c>
      <c r="B13" s="14" t="s">
        <v>108</v>
      </c>
      <c r="C13" s="12"/>
      <c r="D13">
        <v>9.9199999999999997E-2</v>
      </c>
      <c r="E13" s="5" t="s">
        <v>30</v>
      </c>
      <c r="F13">
        <v>1</v>
      </c>
      <c r="G13">
        <f t="shared" si="0"/>
        <v>9.9199999999999997E-2</v>
      </c>
      <c r="H13">
        <v>12</v>
      </c>
      <c r="I13" t="s">
        <v>23</v>
      </c>
      <c r="J13">
        <f t="shared" si="1"/>
        <v>9.9199999999999997E-2</v>
      </c>
      <c r="K13">
        <f t="shared" si="2"/>
        <v>7.936E-2</v>
      </c>
      <c r="L13">
        <f t="shared" si="3"/>
        <v>0.11903999999999999</v>
      </c>
      <c r="N13" t="s">
        <v>50</v>
      </c>
      <c r="P13" s="14" t="s">
        <v>108</v>
      </c>
      <c r="S13" t="s">
        <v>6</v>
      </c>
      <c r="T13" t="s">
        <v>154</v>
      </c>
      <c r="U13" s="11" t="s">
        <v>35</v>
      </c>
      <c r="W13" t="s">
        <v>25</v>
      </c>
    </row>
    <row r="14" spans="1:25" x14ac:dyDescent="0.25">
      <c r="A14" s="14" t="s">
        <v>133</v>
      </c>
      <c r="B14" s="14" t="s">
        <v>109</v>
      </c>
      <c r="C14" s="12"/>
      <c r="D14" s="13">
        <v>6.3399999999999998E-2</v>
      </c>
      <c r="E14" s="5" t="s">
        <v>30</v>
      </c>
      <c r="F14">
        <v>1</v>
      </c>
      <c r="G14">
        <f t="shared" si="0"/>
        <v>6.3399999999999998E-2</v>
      </c>
      <c r="H14">
        <v>13</v>
      </c>
      <c r="I14" t="s">
        <v>23</v>
      </c>
      <c r="J14">
        <f t="shared" si="1"/>
        <v>6.3399999999999998E-2</v>
      </c>
      <c r="K14">
        <f t="shared" si="2"/>
        <v>5.0720000000000001E-2</v>
      </c>
      <c r="L14">
        <f t="shared" si="3"/>
        <v>7.6079999999999995E-2</v>
      </c>
      <c r="N14" t="s">
        <v>50</v>
      </c>
      <c r="P14" s="14" t="s">
        <v>109</v>
      </c>
      <c r="S14" t="s">
        <v>6</v>
      </c>
      <c r="T14" t="s">
        <v>154</v>
      </c>
      <c r="U14" s="11" t="s">
        <v>36</v>
      </c>
      <c r="W14" t="s">
        <v>25</v>
      </c>
    </row>
    <row r="15" spans="1:25" x14ac:dyDescent="0.25">
      <c r="A15" s="14" t="s">
        <v>132</v>
      </c>
      <c r="B15" s="14" t="s">
        <v>108</v>
      </c>
      <c r="C15" s="12"/>
      <c r="D15">
        <v>4.0399999999999998E-2</v>
      </c>
      <c r="E15" s="5" t="s">
        <v>30</v>
      </c>
      <c r="F15">
        <v>1</v>
      </c>
      <c r="G15">
        <f t="shared" si="0"/>
        <v>4.0399999999999998E-2</v>
      </c>
      <c r="H15">
        <v>14</v>
      </c>
      <c r="I15" t="s">
        <v>23</v>
      </c>
      <c r="J15">
        <f t="shared" si="1"/>
        <v>4.0399999999999998E-2</v>
      </c>
      <c r="K15">
        <f t="shared" si="2"/>
        <v>3.2320000000000002E-2</v>
      </c>
      <c r="L15">
        <f t="shared" si="3"/>
        <v>4.8479999999999995E-2</v>
      </c>
      <c r="N15" t="s">
        <v>50</v>
      </c>
      <c r="P15" s="14" t="s">
        <v>108</v>
      </c>
      <c r="S15" t="s">
        <v>6</v>
      </c>
      <c r="T15" t="s">
        <v>154</v>
      </c>
      <c r="U15" s="11" t="s">
        <v>35</v>
      </c>
      <c r="W15" t="s">
        <v>25</v>
      </c>
    </row>
    <row r="16" spans="1:25" x14ac:dyDescent="0.25">
      <c r="A16" s="14" t="s">
        <v>133</v>
      </c>
      <c r="B16" s="14" t="s">
        <v>109</v>
      </c>
      <c r="C16" s="12"/>
      <c r="D16">
        <v>1.34E-2</v>
      </c>
      <c r="E16" s="5" t="s">
        <v>30</v>
      </c>
      <c r="F16">
        <v>1</v>
      </c>
      <c r="G16">
        <f t="shared" si="0"/>
        <v>1.34E-2</v>
      </c>
      <c r="H16">
        <v>15</v>
      </c>
      <c r="I16" t="s">
        <v>23</v>
      </c>
      <c r="J16">
        <f t="shared" si="1"/>
        <v>1.34E-2</v>
      </c>
      <c r="K16">
        <f t="shared" si="2"/>
        <v>1.072E-2</v>
      </c>
      <c r="L16">
        <f t="shared" si="3"/>
        <v>1.6080000000000001E-2</v>
      </c>
      <c r="N16" t="s">
        <v>50</v>
      </c>
      <c r="P16" s="14" t="s">
        <v>109</v>
      </c>
      <c r="S16" t="s">
        <v>6</v>
      </c>
      <c r="T16" t="s">
        <v>154</v>
      </c>
      <c r="U16" s="11" t="s">
        <v>36</v>
      </c>
      <c r="W16" t="s">
        <v>25</v>
      </c>
    </row>
    <row r="17" spans="1:23" x14ac:dyDescent="0.25">
      <c r="A17" s="14" t="s">
        <v>134</v>
      </c>
      <c r="B17" s="14" t="s">
        <v>110</v>
      </c>
      <c r="C17" s="12"/>
      <c r="D17" s="13">
        <v>9.7999999999999997E-3</v>
      </c>
      <c r="E17" s="5" t="s">
        <v>30</v>
      </c>
      <c r="F17">
        <v>1</v>
      </c>
      <c r="G17">
        <f t="shared" si="0"/>
        <v>9.7999999999999997E-3</v>
      </c>
      <c r="H17">
        <v>16</v>
      </c>
      <c r="I17" t="s">
        <v>23</v>
      </c>
      <c r="J17">
        <f t="shared" si="1"/>
        <v>9.7999999999999997E-3</v>
      </c>
      <c r="K17">
        <f t="shared" si="2"/>
        <v>7.8399999999999997E-3</v>
      </c>
      <c r="L17">
        <f t="shared" si="3"/>
        <v>1.176E-2</v>
      </c>
      <c r="N17" t="s">
        <v>50</v>
      </c>
      <c r="P17" s="14" t="s">
        <v>110</v>
      </c>
      <c r="S17" t="s">
        <v>6</v>
      </c>
      <c r="T17" t="s">
        <v>154</v>
      </c>
      <c r="U17" s="11" t="s">
        <v>49</v>
      </c>
      <c r="W17" t="s">
        <v>25</v>
      </c>
    </row>
    <row r="18" spans="1:23" x14ac:dyDescent="0.25">
      <c r="A18" s="14" t="s">
        <v>135</v>
      </c>
      <c r="B18" s="14" t="s">
        <v>111</v>
      </c>
      <c r="C18" s="12"/>
      <c r="D18">
        <v>0.36919999999999997</v>
      </c>
      <c r="E18" s="5" t="s">
        <v>30</v>
      </c>
      <c r="F18">
        <v>1</v>
      </c>
      <c r="G18">
        <f t="shared" si="0"/>
        <v>0.36919999999999997</v>
      </c>
      <c r="H18">
        <v>17</v>
      </c>
      <c r="I18" t="s">
        <v>23</v>
      </c>
      <c r="J18">
        <f t="shared" si="1"/>
        <v>0.36919999999999997</v>
      </c>
      <c r="K18">
        <f t="shared" si="2"/>
        <v>0.29536000000000001</v>
      </c>
      <c r="L18">
        <f t="shared" si="3"/>
        <v>0.44303999999999993</v>
      </c>
      <c r="N18" t="s">
        <v>50</v>
      </c>
      <c r="P18" s="14" t="s">
        <v>111</v>
      </c>
      <c r="S18" t="s">
        <v>6</v>
      </c>
      <c r="T18" t="s">
        <v>154</v>
      </c>
      <c r="U18" s="11" t="s">
        <v>150</v>
      </c>
      <c r="W18" t="s">
        <v>25</v>
      </c>
    </row>
    <row r="19" spans="1:23" x14ac:dyDescent="0.25">
      <c r="A19" s="14" t="s">
        <v>136</v>
      </c>
      <c r="B19" s="14" t="s">
        <v>112</v>
      </c>
      <c r="C19" s="12"/>
      <c r="D19">
        <v>0.2006</v>
      </c>
      <c r="E19" s="5" t="s">
        <v>30</v>
      </c>
      <c r="F19">
        <v>1</v>
      </c>
      <c r="G19">
        <f t="shared" si="0"/>
        <v>0.2006</v>
      </c>
      <c r="H19">
        <v>18</v>
      </c>
      <c r="I19" t="s">
        <v>23</v>
      </c>
      <c r="J19">
        <f t="shared" si="1"/>
        <v>0.2006</v>
      </c>
      <c r="K19">
        <f t="shared" si="2"/>
        <v>0.16048000000000001</v>
      </c>
      <c r="L19">
        <f t="shared" si="3"/>
        <v>0.24071999999999999</v>
      </c>
      <c r="N19" t="s">
        <v>50</v>
      </c>
      <c r="P19" s="14" t="s">
        <v>112</v>
      </c>
      <c r="S19" t="s">
        <v>6</v>
      </c>
      <c r="T19" t="s">
        <v>154</v>
      </c>
      <c r="U19" s="11" t="s">
        <v>35</v>
      </c>
      <c r="W19" t="s">
        <v>25</v>
      </c>
    </row>
    <row r="20" spans="1:23" x14ac:dyDescent="0.25">
      <c r="A20" s="14" t="s">
        <v>137</v>
      </c>
      <c r="B20" s="14" t="s">
        <v>113</v>
      </c>
      <c r="C20" s="12"/>
      <c r="D20">
        <v>0.1176</v>
      </c>
      <c r="E20" s="5" t="s">
        <v>30</v>
      </c>
      <c r="F20">
        <v>1</v>
      </c>
      <c r="G20">
        <f t="shared" si="0"/>
        <v>0.1176</v>
      </c>
      <c r="H20">
        <v>19</v>
      </c>
      <c r="I20" t="s">
        <v>23</v>
      </c>
      <c r="J20">
        <f t="shared" si="1"/>
        <v>0.1176</v>
      </c>
      <c r="K20">
        <f t="shared" si="2"/>
        <v>9.4079999999999997E-2</v>
      </c>
      <c r="L20">
        <f t="shared" si="3"/>
        <v>0.14112</v>
      </c>
      <c r="N20" t="s">
        <v>50</v>
      </c>
      <c r="P20" s="14" t="s">
        <v>113</v>
      </c>
      <c r="S20" t="s">
        <v>6</v>
      </c>
      <c r="T20" t="s">
        <v>154</v>
      </c>
      <c r="U20" s="11" t="s">
        <v>36</v>
      </c>
      <c r="W20" t="s">
        <v>25</v>
      </c>
    </row>
    <row r="21" spans="1:23" x14ac:dyDescent="0.25">
      <c r="A21" s="14" t="s">
        <v>138</v>
      </c>
      <c r="B21" s="14" t="s">
        <v>114</v>
      </c>
      <c r="C21" s="12"/>
      <c r="D21">
        <v>3.3999999999999998E-3</v>
      </c>
      <c r="E21" s="5" t="s">
        <v>30</v>
      </c>
      <c r="F21">
        <v>1</v>
      </c>
      <c r="G21">
        <f t="shared" si="0"/>
        <v>3.3999999999999998E-3</v>
      </c>
      <c r="H21">
        <v>20</v>
      </c>
      <c r="I21" t="s">
        <v>23</v>
      </c>
      <c r="J21">
        <f t="shared" si="1"/>
        <v>3.3999999999999998E-3</v>
      </c>
      <c r="K21">
        <f t="shared" si="2"/>
        <v>2.7200000000000002E-3</v>
      </c>
      <c r="L21">
        <f t="shared" si="3"/>
        <v>4.0799999999999994E-3</v>
      </c>
      <c r="N21" t="s">
        <v>50</v>
      </c>
      <c r="P21" s="14" t="s">
        <v>114</v>
      </c>
      <c r="S21" t="s">
        <v>6</v>
      </c>
      <c r="T21" t="s">
        <v>154</v>
      </c>
      <c r="U21" s="11" t="s">
        <v>38</v>
      </c>
      <c r="W21" t="s">
        <v>25</v>
      </c>
    </row>
    <row r="22" spans="1:23" x14ac:dyDescent="0.25">
      <c r="A22" s="14" t="s">
        <v>139</v>
      </c>
      <c r="B22" s="14" t="s">
        <v>115</v>
      </c>
      <c r="C22" s="12"/>
      <c r="D22">
        <v>1.4E-3</v>
      </c>
      <c r="E22" s="5" t="s">
        <v>30</v>
      </c>
      <c r="F22">
        <v>1</v>
      </c>
      <c r="G22">
        <f t="shared" si="0"/>
        <v>1.4E-3</v>
      </c>
      <c r="H22">
        <v>21</v>
      </c>
      <c r="I22" t="s">
        <v>23</v>
      </c>
      <c r="J22">
        <f t="shared" si="1"/>
        <v>1.4E-3</v>
      </c>
      <c r="K22">
        <f t="shared" si="2"/>
        <v>1.1200000000000001E-3</v>
      </c>
      <c r="L22">
        <f t="shared" si="3"/>
        <v>1.6799999999999999E-3</v>
      </c>
      <c r="N22" t="s">
        <v>50</v>
      </c>
      <c r="P22" s="14" t="s">
        <v>115</v>
      </c>
      <c r="S22" t="s">
        <v>6</v>
      </c>
      <c r="T22" t="s">
        <v>154</v>
      </c>
      <c r="U22" s="11" t="s">
        <v>151</v>
      </c>
      <c r="W22" t="s">
        <v>25</v>
      </c>
    </row>
    <row r="23" spans="1:23" x14ac:dyDescent="0.25">
      <c r="A23" s="14" t="s">
        <v>140</v>
      </c>
      <c r="B23" s="14" t="s">
        <v>116</v>
      </c>
      <c r="C23" s="12"/>
      <c r="D23">
        <v>2.0000000000000001E-4</v>
      </c>
      <c r="E23" s="5" t="s">
        <v>30</v>
      </c>
      <c r="F23">
        <v>1</v>
      </c>
      <c r="G23">
        <f t="shared" si="0"/>
        <v>2.0000000000000001E-4</v>
      </c>
      <c r="H23">
        <v>22</v>
      </c>
      <c r="I23" t="s">
        <v>23</v>
      </c>
      <c r="J23">
        <f t="shared" si="1"/>
        <v>2.0000000000000001E-4</v>
      </c>
      <c r="K23">
        <f t="shared" si="2"/>
        <v>1.6000000000000001E-4</v>
      </c>
      <c r="L23">
        <f t="shared" si="3"/>
        <v>2.4000000000000001E-4</v>
      </c>
      <c r="N23" t="s">
        <v>50</v>
      </c>
      <c r="P23" s="14" t="s">
        <v>116</v>
      </c>
      <c r="S23" t="s">
        <v>6</v>
      </c>
      <c r="T23" t="s">
        <v>154</v>
      </c>
      <c r="U23" s="11" t="s">
        <v>40</v>
      </c>
      <c r="W23" t="s">
        <v>25</v>
      </c>
    </row>
    <row r="24" spans="1:23" x14ac:dyDescent="0.25">
      <c r="A24" s="14" t="s">
        <v>141</v>
      </c>
      <c r="B24" s="14" t="s">
        <v>117</v>
      </c>
      <c r="C24" s="12"/>
      <c r="D24">
        <v>8.1799999999999998E-2</v>
      </c>
      <c r="E24" s="5" t="s">
        <v>30</v>
      </c>
      <c r="F24">
        <v>1</v>
      </c>
      <c r="G24">
        <f t="shared" si="0"/>
        <v>8.1799999999999998E-2</v>
      </c>
      <c r="H24">
        <v>23</v>
      </c>
      <c r="I24" t="s">
        <v>23</v>
      </c>
      <c r="J24">
        <f t="shared" si="1"/>
        <v>8.1799999999999998E-2</v>
      </c>
      <c r="K24">
        <f t="shared" si="2"/>
        <v>6.5439999999999998E-2</v>
      </c>
      <c r="L24">
        <f t="shared" si="3"/>
        <v>9.8159999999999997E-2</v>
      </c>
      <c r="N24" t="s">
        <v>50</v>
      </c>
      <c r="P24" s="14" t="s">
        <v>117</v>
      </c>
      <c r="S24" t="s">
        <v>6</v>
      </c>
      <c r="T24" t="s">
        <v>154</v>
      </c>
      <c r="U24" s="16" t="s">
        <v>145</v>
      </c>
      <c r="W24" t="s">
        <v>25</v>
      </c>
    </row>
    <row r="25" spans="1:23" x14ac:dyDescent="0.25">
      <c r="A25" s="14" t="s">
        <v>142</v>
      </c>
      <c r="B25" s="14" t="s">
        <v>118</v>
      </c>
      <c r="C25" s="12"/>
      <c r="D25" s="13">
        <v>7.6E-3</v>
      </c>
      <c r="E25" s="5" t="s">
        <v>30</v>
      </c>
      <c r="F25">
        <v>1</v>
      </c>
      <c r="G25">
        <f t="shared" si="0"/>
        <v>7.6E-3</v>
      </c>
      <c r="H25">
        <v>24</v>
      </c>
      <c r="I25" t="s">
        <v>23</v>
      </c>
      <c r="J25">
        <f t="shared" si="1"/>
        <v>7.6E-3</v>
      </c>
      <c r="K25">
        <f t="shared" si="2"/>
        <v>6.0800000000000003E-3</v>
      </c>
      <c r="L25">
        <f t="shared" si="3"/>
        <v>9.1199999999999996E-3</v>
      </c>
      <c r="N25" t="s">
        <v>50</v>
      </c>
      <c r="P25" s="14" t="s">
        <v>118</v>
      </c>
      <c r="S25" t="s">
        <v>6</v>
      </c>
      <c r="T25" t="s">
        <v>154</v>
      </c>
      <c r="U25" s="11" t="s">
        <v>33</v>
      </c>
      <c r="W25" t="s">
        <v>25</v>
      </c>
    </row>
    <row r="26" spans="1:23" x14ac:dyDescent="0.25">
      <c r="A26" s="14" t="s">
        <v>143</v>
      </c>
      <c r="B26" s="14" t="s">
        <v>119</v>
      </c>
      <c r="C26" s="12"/>
      <c r="D26">
        <v>2.0000000000000001E-4</v>
      </c>
      <c r="E26" s="5" t="s">
        <v>30</v>
      </c>
      <c r="F26">
        <v>1</v>
      </c>
      <c r="G26">
        <f t="shared" si="0"/>
        <v>2.0000000000000001E-4</v>
      </c>
      <c r="H26">
        <v>25</v>
      </c>
      <c r="I26" t="s">
        <v>23</v>
      </c>
      <c r="J26">
        <f t="shared" si="1"/>
        <v>2.0000000000000001E-4</v>
      </c>
      <c r="K26">
        <f t="shared" si="2"/>
        <v>1.6000000000000001E-4</v>
      </c>
      <c r="L26">
        <f t="shared" si="3"/>
        <v>2.4000000000000001E-4</v>
      </c>
      <c r="N26" t="s">
        <v>50</v>
      </c>
      <c r="P26" s="14" t="s">
        <v>119</v>
      </c>
      <c r="S26" t="s">
        <v>6</v>
      </c>
      <c r="T26" t="s">
        <v>154</v>
      </c>
      <c r="U26" s="11" t="s">
        <v>37</v>
      </c>
      <c r="W26" t="s">
        <v>25</v>
      </c>
    </row>
    <row r="27" spans="1:23" x14ac:dyDescent="0.25">
      <c r="A27" s="14" t="s">
        <v>144</v>
      </c>
      <c r="B27" s="14" t="s">
        <v>120</v>
      </c>
      <c r="C27" s="12"/>
      <c r="D27">
        <v>1.52E-2</v>
      </c>
      <c r="E27" s="5" t="s">
        <v>30</v>
      </c>
      <c r="F27">
        <v>1</v>
      </c>
      <c r="G27">
        <f t="shared" si="0"/>
        <v>1.52E-2</v>
      </c>
      <c r="H27">
        <v>26</v>
      </c>
      <c r="I27" t="s">
        <v>23</v>
      </c>
      <c r="J27">
        <f t="shared" si="1"/>
        <v>1.52E-2</v>
      </c>
      <c r="K27">
        <f t="shared" si="2"/>
        <v>1.2160000000000001E-2</v>
      </c>
      <c r="L27">
        <f t="shared" si="3"/>
        <v>1.8239999999999999E-2</v>
      </c>
      <c r="N27" t="s">
        <v>50</v>
      </c>
      <c r="P27" s="14" t="s">
        <v>120</v>
      </c>
      <c r="S27" t="s">
        <v>6</v>
      </c>
      <c r="T27" t="s">
        <v>154</v>
      </c>
      <c r="U27" s="11" t="s">
        <v>33</v>
      </c>
      <c r="W27" t="s">
        <v>25</v>
      </c>
    </row>
    <row r="28" spans="1:23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</sheetData>
  <conditionalFormatting sqref="D1:R1">
    <cfRule type="cellIs" dxfId="1" priority="1" operator="equal">
      <formula>"Elec"</formula>
    </cfRule>
    <cfRule type="cellIs" dxfId="0" priority="2" operator="equal">
      <formula>"Mech"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664E055D3024392F88086CF1FCE78" ma:contentTypeVersion="18" ma:contentTypeDescription="Crée un document." ma:contentTypeScope="" ma:versionID="6210ba4888d7ca466d6e1a77387b1376">
  <xsd:schema xmlns:xsd="http://www.w3.org/2001/XMLSchema" xmlns:xs="http://www.w3.org/2001/XMLSchema" xmlns:p="http://schemas.microsoft.com/office/2006/metadata/properties" xmlns:ns3="0697829a-e10a-4ecc-8cda-2f5d72ccb1b7" xmlns:ns4="13ef337f-c9b9-4264-a107-3231cbcfd79b" targetNamespace="http://schemas.microsoft.com/office/2006/metadata/properties" ma:root="true" ma:fieldsID="ce21685d69c12746a606a50df0c88be0" ns3:_="" ns4:_="">
    <xsd:import namespace="0697829a-e10a-4ecc-8cda-2f5d72ccb1b7"/>
    <xsd:import namespace="13ef337f-c9b9-4264-a107-3231cbcfd7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7829a-e10a-4ecc-8cda-2f5d72ccb1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f337f-c9b9-4264-a107-3231cbcfd7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97829a-e10a-4ecc-8cda-2f5d72ccb1b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3114CE-CAEC-4CE8-82D8-6FC058EC2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7829a-e10a-4ecc-8cda-2f5d72ccb1b7"/>
    <ds:schemaRef ds:uri="13ef337f-c9b9-4264-a107-3231cbcfd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534742-DDFF-404D-89F8-92EDE7099B04}">
  <ds:schemaRefs>
    <ds:schemaRef ds:uri="http://schemas.microsoft.com/office/2006/metadata/properties"/>
    <ds:schemaRef ds:uri="0697829a-e10a-4ecc-8cda-2f5d72ccb1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13ef337f-c9b9-4264-a107-3231cbcfd79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9BE42DD-DB08-415E-ADAA-F88692392C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PWB</vt:lpstr>
      <vt:lpstr>IC_frontend</vt:lpstr>
      <vt:lpstr>IC_backend</vt:lpstr>
      <vt:lpstr>quartz_oscillator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Dethienne</dc:creator>
  <cp:lastModifiedBy>Robin Dethienne</cp:lastModifiedBy>
  <dcterms:created xsi:type="dcterms:W3CDTF">2015-06-05T18:17:20Z</dcterms:created>
  <dcterms:modified xsi:type="dcterms:W3CDTF">2025-08-20T08:18:29Z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0x010100103664E055D3024392F88086CF1FCE78</vt:lpwstr>
  </property>
</Properties>
</file>