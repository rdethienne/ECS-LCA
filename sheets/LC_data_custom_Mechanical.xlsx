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louvain-my.sharepoint.com/personal/robin_dethienne_uclouvain_be/Documents/DOC/teaching/TFE_ICT/"/>
    </mc:Choice>
  </mc:AlternateContent>
  <xr:revisionPtr revIDLastSave="34" documentId="13_ncr:1_{97E99FBB-37EE-4DE0-B864-42EA4F30B26B}" xr6:coauthVersionLast="47" xr6:coauthVersionMax="47" xr10:uidLastSave="{4161D1B5-3A6C-46B0-8CD9-92FE3F4E65D1}"/>
  <bookViews>
    <workbookView xWindow="-25320" yWindow="-120" windowWidth="25440" windowHeight="15270" firstSheet="3" activeTab="4" xr2:uid="{00000000-000D-0000-FFFF-FFFF00000000}"/>
  </bookViews>
  <sheets>
    <sheet name="moulded_ABS" sheetId="11" r:id="rId1"/>
    <sheet name="moulded_polycarbonate" sheetId="32" r:id="rId2"/>
    <sheet name="moulded_polypropylene" sheetId="33" r:id="rId3"/>
    <sheet name="moulded_polyethylene" sheetId="36" r:id="rId4"/>
    <sheet name="plastic_bag_HDPE" sheetId="37" r:id="rId5"/>
    <sheet name="plastic_bag_LDPE" sheetId="38" r:id="rId6"/>
    <sheet name="steel_spring" sheetId="12" r:id="rId7"/>
    <sheet name="casted_alu" sheetId="52" r:id="rId8"/>
    <sheet name="steel_sheet_parts" sheetId="3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52" l="1"/>
  <c r="K2" i="52"/>
  <c r="G3" i="52"/>
  <c r="J3" i="52" s="1"/>
  <c r="L3" i="52" s="1"/>
  <c r="G2" i="52"/>
  <c r="J2" i="52" s="1"/>
  <c r="L2" i="52" s="1"/>
  <c r="G2" i="37" l="1"/>
  <c r="J2" i="37" s="1"/>
  <c r="L2" i="37" s="1"/>
  <c r="G3" i="37"/>
  <c r="L2" i="36"/>
  <c r="L2" i="33"/>
  <c r="L2" i="32"/>
  <c r="L2" i="11"/>
  <c r="G3" i="38" l="1"/>
  <c r="J3" i="38" s="1"/>
  <c r="L3" i="38" s="1"/>
  <c r="G2" i="38"/>
  <c r="J2" i="38" s="1"/>
  <c r="L2" i="38" s="1"/>
  <c r="J3" i="37"/>
  <c r="L3" i="37" s="1"/>
  <c r="L3" i="36"/>
  <c r="G3" i="36"/>
  <c r="J3" i="36" s="1"/>
  <c r="G2" i="36"/>
  <c r="J2" i="36" s="1"/>
  <c r="G4" i="34"/>
  <c r="J4" i="34" s="1"/>
  <c r="G3" i="34"/>
  <c r="J3" i="34" s="1"/>
  <c r="G2" i="34"/>
  <c r="J2" i="34" s="1"/>
  <c r="L3" i="33"/>
  <c r="G3" i="33"/>
  <c r="J3" i="33" s="1"/>
  <c r="G2" i="33"/>
  <c r="J2" i="33" s="1"/>
  <c r="L3" i="11"/>
  <c r="L3" i="32"/>
  <c r="G3" i="32"/>
  <c r="J3" i="32" s="1"/>
  <c r="G2" i="32"/>
  <c r="J2" i="32" s="1"/>
  <c r="G3" i="12" l="1"/>
  <c r="G4" i="12"/>
  <c r="J4" i="12" s="1"/>
  <c r="G2" i="12"/>
  <c r="J2" i="12" s="1"/>
  <c r="G3" i="11"/>
  <c r="J3" i="11" s="1"/>
  <c r="G2" i="11"/>
  <c r="J2" i="11" s="1"/>
  <c r="J3" i="12" l="1"/>
</calcChain>
</file>

<file path=xl/sharedStrings.xml><?xml version="1.0" encoding="utf-8"?>
<sst xmlns="http://schemas.openxmlformats.org/spreadsheetml/2006/main" count="422" uniqueCount="90">
  <si>
    <t>Name</t>
  </si>
  <si>
    <t>datasheet</t>
  </si>
  <si>
    <t>Note</t>
  </si>
  <si>
    <t>Unit</t>
  </si>
  <si>
    <t>Qty</t>
  </si>
  <si>
    <t>Amount</t>
  </si>
  <si>
    <t>NA</t>
  </si>
  <si>
    <t>Reference in inventory</t>
  </si>
  <si>
    <t>EI activity name</t>
  </si>
  <si>
    <t>Total Qty (Qty*Amount)</t>
  </si>
  <si>
    <t>Label</t>
  </si>
  <si>
    <t>Type</t>
  </si>
  <si>
    <t>Default</t>
  </si>
  <si>
    <t>Min</t>
  </si>
  <si>
    <t>Max</t>
  </si>
  <si>
    <t>Std</t>
  </si>
  <si>
    <t>Distrib</t>
  </si>
  <si>
    <t>Description</t>
  </si>
  <si>
    <t>Values</t>
  </si>
  <si>
    <t>Weight</t>
  </si>
  <si>
    <t>TRIANGLE</t>
  </si>
  <si>
    <t>Float</t>
  </si>
  <si>
    <t>loc</t>
  </si>
  <si>
    <t>GLO</t>
  </si>
  <si>
    <t>LCA algebraic name</t>
  </si>
  <si>
    <t>market for acrylonitrile-butadiene-styrene copolymer</t>
  </si>
  <si>
    <t>market for steel, low-alloyed</t>
  </si>
  <si>
    <t>market for injection moulding</t>
  </si>
  <si>
    <t>FIXED</t>
  </si>
  <si>
    <t>kg</t>
  </si>
  <si>
    <t>market for metal working, average for steel product manufacturing</t>
  </si>
  <si>
    <t>wire rods/wires are reduced in diameter</t>
  </si>
  <si>
    <t>From low alloyed to wire rods</t>
  </si>
  <si>
    <t>steel_piece_spring</t>
  </si>
  <si>
    <t>worked_steel_piece_sping</t>
  </si>
  <si>
    <t>wired_spring</t>
  </si>
  <si>
    <t>steel piece spring</t>
  </si>
  <si>
    <t>worked steel piece sping</t>
  </si>
  <si>
    <t>wired spring</t>
  </si>
  <si>
    <t>UNIFORM</t>
  </si>
  <si>
    <t>market for wire drawing, steel</t>
  </si>
  <si>
    <t>market for polycarbonate</t>
  </si>
  <si>
    <t>PC piece</t>
  </si>
  <si>
    <t>moulding PC plastic</t>
  </si>
  <si>
    <t>PC_piece</t>
  </si>
  <si>
    <t>moulding_PC_plastic</t>
  </si>
  <si>
    <t>1,006 because of losses, +10% -&gt; for worst case</t>
  </si>
  <si>
    <t>PP piece</t>
  </si>
  <si>
    <t>moulding  PP plastic</t>
  </si>
  <si>
    <t>moulding_ PP_plastic</t>
  </si>
  <si>
    <t>PP_piece</t>
  </si>
  <si>
    <t>market for polyethylene, low density, granulate</t>
  </si>
  <si>
    <t>market for sheet rolling, steel</t>
  </si>
  <si>
    <t>steel piece for sheet</t>
  </si>
  <si>
    <t>steel sheet</t>
  </si>
  <si>
    <t>steel_piece_for_sheet</t>
  </si>
  <si>
    <t>steel_sheet</t>
  </si>
  <si>
    <t>worked steel piece for sheet</t>
  </si>
  <si>
    <t>worked_steel_piece_for_sheet</t>
  </si>
  <si>
    <t>market for polypropylene, granulate</t>
  </si>
  <si>
    <t>PE piece</t>
  </si>
  <si>
    <t>PE_piece</t>
  </si>
  <si>
    <t>moulding  PE plastic</t>
  </si>
  <si>
    <t>moulding_ PE_plastic</t>
  </si>
  <si>
    <t>plastic piece ABS</t>
  </si>
  <si>
    <t>moulding plastic ABS</t>
  </si>
  <si>
    <t>plastic_piece_ABS</t>
  </si>
  <si>
    <t>moulding plastic_ABS</t>
  </si>
  <si>
    <t>HDPE piece</t>
  </si>
  <si>
    <t>extrusion HDPE</t>
  </si>
  <si>
    <t>HDPE_piece</t>
  </si>
  <si>
    <t>extrusion_HDPE</t>
  </si>
  <si>
    <t>plus 10% -&gt; for worst case (assumption), The extrusion process is employed to create the plastic film used in plastic bags</t>
  </si>
  <si>
    <t>market for extrusion, plastic film</t>
  </si>
  <si>
    <t>market for polyethylene, high density, granulate</t>
  </si>
  <si>
    <t>LDPE piece</t>
  </si>
  <si>
    <t>extrusion LDPE</t>
  </si>
  <si>
    <t>LDPE_piece</t>
  </si>
  <si>
    <t>extrusion_LDPE</t>
  </si>
  <si>
    <t>casted_alu_material</t>
  </si>
  <si>
    <t>market for aluminium, cast alloy</t>
  </si>
  <si>
    <t>market for aluminium removed by milling, average</t>
  </si>
  <si>
    <t>milling with 4,8% of losses. It requires 1.05kg of alu cast alloy for 1kg of alu die-cast processed</t>
  </si>
  <si>
    <t>casted_alu_milling</t>
  </si>
  <si>
    <t>Aluminium cast alloy</t>
  </si>
  <si>
    <t>Milling</t>
  </si>
  <si>
    <t>parameter number</t>
  </si>
  <si>
    <t>Custom process name</t>
  </si>
  <si>
    <t>Comment</t>
  </si>
  <si>
    <t>Modified process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</si>
</sst>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231F1F"/>
      <name val="Segoe UI"/>
      <family val="2"/>
    </font>
    <font>
      <sz val="11"/>
      <color rgb="FF231F1F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231F1F"/>
      <name val="Calibri Light"/>
      <family val="2"/>
      <scheme val="major"/>
    </font>
    <font>
      <sz val="11"/>
      <color rgb="FF231F1F"/>
      <name val="Var(--chakra-fonts-heading)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0" fillId="0" borderId="4" xfId="0" applyBorder="1"/>
    <xf numFmtId="0" fontId="1" fillId="2" borderId="5" xfId="0" applyFont="1" applyFill="1" applyBorder="1"/>
    <xf numFmtId="0" fontId="2" fillId="0" borderId="4" xfId="0" applyFont="1" applyBorder="1"/>
    <xf numFmtId="0" fontId="0" fillId="3" borderId="6" xfId="0" applyFill="1" applyBorder="1"/>
    <xf numFmtId="0" fontId="1" fillId="2" borderId="6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0" fillId="0" borderId="8" xfId="0" applyBorder="1"/>
    <xf numFmtId="0" fontId="0" fillId="0" borderId="7" xfId="0" applyBorder="1"/>
    <xf numFmtId="0" fontId="3" fillId="0" borderId="0" xfId="0" applyFont="1"/>
    <xf numFmtId="0" fontId="4" fillId="0" borderId="0" xfId="0" applyFont="1"/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0" fillId="0" borderId="6" xfId="0" applyBorder="1" applyAlignment="1">
      <alignment vertical="top" wrapText="1"/>
    </xf>
    <xf numFmtId="0" fontId="0" fillId="3" borderId="9" xfId="0" applyFill="1" applyBorder="1"/>
    <xf numFmtId="0" fontId="0" fillId="0" borderId="6" xfId="0" applyBorder="1"/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9" xfId="0" applyBorder="1"/>
    <xf numFmtId="0" fontId="8" fillId="4" borderId="5" xfId="0" applyFont="1" applyFill="1" applyBorder="1" applyAlignment="1">
      <alignment horizontal="center"/>
    </xf>
    <xf numFmtId="0" fontId="1" fillId="2" borderId="10" xfId="0" applyFont="1" applyFill="1" applyBorder="1" applyAlignment="1">
      <alignment wrapText="1"/>
    </xf>
  </cellXfs>
  <cellStyles count="1">
    <cellStyle name="Normal" xfId="0" builtinId="0"/>
  </cellStyles>
  <dxfs count="120"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F1F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bottom style="medium">
          <color rgb="FF000000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F1F"/>
        <name val="Calibri Light"/>
        <family val="2"/>
        <scheme val="major"/>
      </font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F1F"/>
        <name val="Calibri Light"/>
        <family val="2"/>
        <scheme val="major"/>
      </font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F1F"/>
        <name val="Calibri"/>
        <family val="2"/>
        <scheme val="minor"/>
      </font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F1F"/>
        <name val="Calibri"/>
        <family val="2"/>
        <scheme val="minor"/>
      </font>
    </dxf>
    <dxf>
      <numFmt numFmtId="0" formatCode="General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F1F"/>
        <name val="Segoe UI"/>
        <family val="2"/>
        <scheme val="none"/>
      </font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F1F"/>
        <name val="Segoe UI"/>
        <family val="2"/>
        <scheme val="none"/>
      </font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F1F"/>
        <name val="Segoe UI"/>
        <family val="2"/>
        <scheme val="none"/>
      </font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F1F"/>
        <name val="Segoe UI"/>
        <family val="2"/>
        <scheme val="none"/>
      </font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269F39-A937-401C-A386-D7DF274A59DB}" name="Table142524265" displayName="Table142524265" ref="B1:Y3" totalsRowShown="0" headerRowDxfId="119" headerRowBorderDxfId="118" tableBorderDxfId="117">
  <autoFilter ref="B1:Y3" xr:uid="{9A14EB23-2744-45B0-907D-F2696F8CA01A}"/>
  <sortState xmlns:xlrd2="http://schemas.microsoft.com/office/spreadsheetml/2017/richdata2" ref="B2:F3">
    <sortCondition ref="E1:E3"/>
  </sortState>
  <tableColumns count="24">
    <tableColumn id="1" xr3:uid="{A3485E8A-8AFC-4046-B14D-A7C966AC40D1}" name="LCA algebraic name" dataDxfId="116"/>
    <tableColumn id="2" xr3:uid="{56369392-4FD4-43F9-8D22-F3FD99F18328}" name="Reference in inventory" dataDxfId="115"/>
    <tableColumn id="3" xr3:uid="{08B4716B-6C9A-4F74-B0A3-078DA82FBB60}" name="Qty" dataDxfId="114"/>
    <tableColumn id="5" xr3:uid="{2B2DEE69-3C71-4A8F-A011-C40FBE2EE586}" name="Unit" dataDxfId="113"/>
    <tableColumn id="4" xr3:uid="{3A4CCED3-A0F7-49CA-B434-5A80E67633A1}" name="Amount" dataDxfId="112"/>
    <tableColumn id="6" xr3:uid="{96D8796E-3757-40F1-8E19-4A48A2412519}" name="Total Qty (Qty*Amount)">
      <calculatedColumnFormula xml:space="preserve"> D2*F2</calculatedColumnFormula>
    </tableColumn>
    <tableColumn id="9" xr3:uid="{21E1E696-0FC8-4116-B591-D02CD49B46A1}" name="parameter number"/>
    <tableColumn id="10" xr3:uid="{1C0CF103-9F51-46C6-BCFF-E830C45A3A93}" name="Type"/>
    <tableColumn id="11" xr3:uid="{0ED2E9DE-EF7F-4F3E-866D-425032C062F9}" name="Default">
      <calculatedColumnFormula>G2</calculatedColumnFormula>
    </tableColumn>
    <tableColumn id="12" xr3:uid="{309C0B2E-CF60-4FAC-B5B2-DACBDFD16A6C}" name="Min">
      <calculatedColumnFormula xml:space="preserve"> G2/2</calculatedColumnFormula>
    </tableColumn>
    <tableColumn id="13" xr3:uid="{2E92368C-B6E2-4617-8576-C20889D03E22}" name="Max">
      <calculatedColumnFormula>G2*2</calculatedColumnFormula>
    </tableColumn>
    <tableColumn id="14" xr3:uid="{DFB64B71-E17D-4EE1-A65E-97907188647C}" name="Std"/>
    <tableColumn id="15" xr3:uid="{5ADBE4D8-14EE-4C62-9AEA-3C0A705B53D1}" name="Distrib"/>
    <tableColumn id="16" xr3:uid="{7C55CD37-77CD-494B-AAEC-1DBE88157BB8}" name="Description"/>
    <tableColumn id="17" xr3:uid="{CE1062AA-826B-4075-BC3F-2F43700618BD}" name="Label" dataDxfId="111"/>
    <tableColumn id="18" xr3:uid="{CCD17761-BA03-4EA7-B7A2-3D89448B7E1E}" name="Values"/>
    <tableColumn id="19" xr3:uid="{61ED3650-3568-4381-A98C-7567A2818169}" name="Weight"/>
    <tableColumn id="20" xr3:uid="{2DE8BC5B-4C31-4074-9457-1EAFE9452474}" name="datasheet"/>
    <tableColumn id="21" xr3:uid="{8418FB73-2931-44C8-BA56-C6CAF32EB3F7}" name="Note"/>
    <tableColumn id="22" xr3:uid="{C358AFD6-7A5A-4515-9CBF-46373A6B6BB3}" name="EI activity name" dataDxfId="110"/>
    <tableColumn id="23" xr3:uid="{F1CFCAB6-7F94-42FE-A3DB-7361BE5101A4}" name="Custom process name"/>
    <tableColumn id="7" xr3:uid="{88ABA16E-B6E3-44A3-9924-C8286086F696}" name="loc"/>
    <tableColumn id="8" xr3:uid="{896C51F6-A838-4681-BEBD-CC87D6FCA880}" name="Modified process name"/>
    <tableColumn id="24" xr3:uid="{B4AEC04F-BF95-4B0E-BF6A-2D977544E85D}" name="Com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A6F2E78-D332-4A8F-B780-DD68D057B11A}" name="Table14252426518" displayName="Table14252426518" ref="B1:Y3" totalsRowShown="0" headerRowDxfId="109" headerRowBorderDxfId="108" tableBorderDxfId="107">
  <autoFilter ref="B1:Y3" xr:uid="{82B29AEC-E17F-444B-B189-43F356820F88}"/>
  <sortState xmlns:xlrd2="http://schemas.microsoft.com/office/spreadsheetml/2017/richdata2" ref="B2:F3">
    <sortCondition ref="E1:E3"/>
  </sortState>
  <tableColumns count="24">
    <tableColumn id="1" xr3:uid="{B5BFF958-BD71-46DF-AAB6-46F790D5E2B4}" name="LCA algebraic name" dataDxfId="106"/>
    <tableColumn id="2" xr3:uid="{068962C6-E768-4ABC-A71F-223819517BC0}" name="Reference in inventory" dataDxfId="105"/>
    <tableColumn id="3" xr3:uid="{9B8CFAD0-E3DC-4C4D-9FC6-35EA06D096C8}" name="Qty" dataDxfId="104"/>
    <tableColumn id="5" xr3:uid="{8CB4E62A-81B1-4E4B-8214-CCBE2E0E171D}" name="Unit" dataDxfId="103"/>
    <tableColumn id="4" xr3:uid="{F02E6FB9-6F34-483B-BD4F-18D381C1C4F4}" name="Amount" dataDxfId="102"/>
    <tableColumn id="6" xr3:uid="{E4522FCD-B0BA-4DE4-AAC7-192B3C889CFB}" name="Total Qty (Qty*Amount)">
      <calculatedColumnFormula xml:space="preserve"> D2*F2</calculatedColumnFormula>
    </tableColumn>
    <tableColumn id="9" xr3:uid="{92F553B2-DD38-469F-B2B0-F6CE6750B36F}" name="parameter number"/>
    <tableColumn id="10" xr3:uid="{32C46A5E-886C-49E7-AEA9-44B4D27C3DCE}" name="Type"/>
    <tableColumn id="11" xr3:uid="{AB63F63E-C455-489A-BFCB-319B6AC80761}" name="Default">
      <calculatedColumnFormula>G2</calculatedColumnFormula>
    </tableColumn>
    <tableColumn id="12" xr3:uid="{BC45E788-F2D3-402F-AC61-376C86A7CA14}" name="Min">
      <calculatedColumnFormula xml:space="preserve"> G2/2</calculatedColumnFormula>
    </tableColumn>
    <tableColumn id="13" xr3:uid="{A67E0B00-1226-4FBC-B670-55E296359B3C}" name="Max">
      <calculatedColumnFormula>G2*2</calculatedColumnFormula>
    </tableColumn>
    <tableColumn id="14" xr3:uid="{27872223-0B86-483A-9BDD-77F9A7A9D626}" name="Std"/>
    <tableColumn id="15" xr3:uid="{8B8CE1FC-3A02-4E22-A2E9-68C88EF5CC99}" name="Distrib"/>
    <tableColumn id="16" xr3:uid="{944FE436-BCDA-410D-B092-86E9E24BFE56}" name="Description"/>
    <tableColumn id="17" xr3:uid="{4D70A459-47D3-40F3-BF4B-3DCEAEEC8260}" name="Label"/>
    <tableColumn id="18" xr3:uid="{0DF1420F-C1A8-4850-B1CB-EA0E661A9EE0}" name="Values"/>
    <tableColumn id="19" xr3:uid="{E0D24F7E-D2A5-4154-BCEE-14498A99F4B4}" name="Weight"/>
    <tableColumn id="20" xr3:uid="{60D21F24-9581-43B6-99C0-3E4A8987E506}" name="datasheet"/>
    <tableColumn id="21" xr3:uid="{D009FA64-B9E3-4B12-97F2-264347EFD1E6}" name="Note"/>
    <tableColumn id="22" xr3:uid="{06E766C7-06AA-4B65-BF5A-D449281670C4}" name="EI activity name" dataDxfId="101"/>
    <tableColumn id="23" xr3:uid="{1CDF2EC9-AF4A-4CEA-A155-A1B8C1C6A2E2}" name="Custom process name"/>
    <tableColumn id="7" xr3:uid="{531769C6-9166-41EF-9AD8-4FF1ED7BEABE}" name="loc"/>
    <tableColumn id="8" xr3:uid="{B580DCB8-18B0-48EB-8D85-66C5635D6A08}" name="Modified process name"/>
    <tableColumn id="24" xr3:uid="{6510BB2D-4F76-4637-A622-DCC180E6F432}" name="Com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34EC5B6-5714-4702-835B-1F2312D6EB1F}" name="Table1425242651821" displayName="Table1425242651821" ref="B1:Y3" totalsRowShown="0" headerRowDxfId="100" headerRowBorderDxfId="99" tableBorderDxfId="98">
  <autoFilter ref="B1:Y3" xr:uid="{07CBC65A-7214-4422-8CDF-642E111C6D29}"/>
  <sortState xmlns:xlrd2="http://schemas.microsoft.com/office/spreadsheetml/2017/richdata2" ref="B2:F3">
    <sortCondition ref="E1:E3"/>
  </sortState>
  <tableColumns count="24">
    <tableColumn id="1" xr3:uid="{ADAE8CBE-45F5-459C-9CDD-4D2D504AF7C3}" name="LCA algebraic name" dataDxfId="97"/>
    <tableColumn id="2" xr3:uid="{803A0A02-DAAD-4ADA-8BCB-6BA662F18456}" name="Reference in inventory" dataDxfId="96"/>
    <tableColumn id="3" xr3:uid="{D5E418A9-B799-450F-B0B7-811E9B6BF0E7}" name="Qty" dataDxfId="95"/>
    <tableColumn id="5" xr3:uid="{1BB73DCB-2EF6-43EA-B4FD-7D55EADADEBB}" name="Unit" dataDxfId="94"/>
    <tableColumn id="4" xr3:uid="{5B150046-032E-4FE7-A1FC-C2D1EDB990AC}" name="Amount" dataDxfId="93"/>
    <tableColumn id="6" xr3:uid="{85EE1C39-0FEB-451D-BFE9-F69000B4B98A}" name="Total Qty (Qty*Amount)">
      <calculatedColumnFormula xml:space="preserve"> D2*F2</calculatedColumnFormula>
    </tableColumn>
    <tableColumn id="9" xr3:uid="{C978CB3C-A44D-46D0-B818-9C86A48C0E67}" name="parameter number"/>
    <tableColumn id="10" xr3:uid="{74C821A5-A671-4C31-BEAD-63E389F39FB5}" name="Type"/>
    <tableColumn id="11" xr3:uid="{BFD76DE5-AF57-47D1-971C-0CE7247A7DAA}" name="Default">
      <calculatedColumnFormula>G2</calculatedColumnFormula>
    </tableColumn>
    <tableColumn id="12" xr3:uid="{287A2721-E1D1-4B39-8361-AA36AAEA6082}" name="Min">
      <calculatedColumnFormula xml:space="preserve"> G2/2</calculatedColumnFormula>
    </tableColumn>
    <tableColumn id="13" xr3:uid="{84614237-49F0-4796-B128-6BFAB9601385}" name="Max">
      <calculatedColumnFormula>G2*2</calculatedColumnFormula>
    </tableColumn>
    <tableColumn id="14" xr3:uid="{9D48DACF-BD45-45CF-AF36-F61904C1BAC1}" name="Std"/>
    <tableColumn id="15" xr3:uid="{8B4EB6A7-FF02-46D5-BDF1-BF3EFBC3308C}" name="Distrib"/>
    <tableColumn id="16" xr3:uid="{E8B72D9A-D8CE-4322-9C18-3D6C790336BA}" name="Description"/>
    <tableColumn id="17" xr3:uid="{C3BC51D7-1CA1-4030-ADB3-C43146826D70}" name="Label"/>
    <tableColumn id="18" xr3:uid="{428DA118-31DF-43CF-A96F-20FD3AAD98A6}" name="Values"/>
    <tableColumn id="19" xr3:uid="{1557B27F-CFE0-4001-A324-4A12CBA4B1DD}" name="Weight"/>
    <tableColumn id="20" xr3:uid="{33CCEE8C-61A3-4E0B-A674-14AA6B9F0433}" name="datasheet"/>
    <tableColumn id="21" xr3:uid="{D454CE83-FBA6-4CCB-A9C3-51B56E4CB36B}" name="Note"/>
    <tableColumn id="22" xr3:uid="{57E75997-1D08-41C8-B058-D6A5C95FE2DC}" name="EI activity name" dataDxfId="92"/>
    <tableColumn id="23" xr3:uid="{951B9703-547D-448C-8444-80E8B0D389AC}" name="Custom process name"/>
    <tableColumn id="7" xr3:uid="{35FFCAAF-F730-4B44-8B58-E10166865C9D}" name="loc"/>
    <tableColumn id="8" xr3:uid="{2B49868F-3D26-40DE-9757-49F2FA455DF4}" name="Modified process name"/>
    <tableColumn id="24" xr3:uid="{F8708ABE-E3BB-4166-B623-3BEA5CDA9204}" name="Com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53562E9-801B-47BB-8AE3-53C4B0A94FBA}" name="Table142524265182125" displayName="Table142524265182125" ref="B1:Y3" totalsRowShown="0" headerRowDxfId="91" headerRowBorderDxfId="90" tableBorderDxfId="89">
  <autoFilter ref="B1:Y3" xr:uid="{5ECADDF3-6C44-466C-8316-D7BBF4B9BEA4}"/>
  <sortState xmlns:xlrd2="http://schemas.microsoft.com/office/spreadsheetml/2017/richdata2" ref="B2:F3">
    <sortCondition ref="E1:E3"/>
  </sortState>
  <tableColumns count="24">
    <tableColumn id="1" xr3:uid="{34141269-9CBC-474F-BF9A-E3DE761BB661}" name="LCA algebraic name" dataDxfId="88"/>
    <tableColumn id="2" xr3:uid="{EE904E52-EAEA-4E9E-9B52-1A1FC02A19EA}" name="Reference in inventory" dataDxfId="87"/>
    <tableColumn id="3" xr3:uid="{1DFCFDFE-EA0E-4712-860D-92F5C5EC15ED}" name="Qty" dataDxfId="86"/>
    <tableColumn id="5" xr3:uid="{40439452-B433-442C-BD46-1EB9C2B1C771}" name="Unit" dataDxfId="85"/>
    <tableColumn id="4" xr3:uid="{2CAB8EE6-B2D3-46DD-B61D-A2E43EB96860}" name="Amount" dataDxfId="84"/>
    <tableColumn id="6" xr3:uid="{C2244D70-1D46-410A-B425-5FFB234C3823}" name="Total Qty (Qty*Amount)">
      <calculatedColumnFormula xml:space="preserve"> D2*F2</calculatedColumnFormula>
    </tableColumn>
    <tableColumn id="9" xr3:uid="{5141358F-EF2D-4AF3-A407-B11DF0003D8F}" name="parameter number"/>
    <tableColumn id="10" xr3:uid="{44823F0D-04E9-4224-B94F-B52260FA1B02}" name="Type"/>
    <tableColumn id="11" xr3:uid="{3C9492D8-1668-47F6-A1B0-8214D5FCFC34}" name="Default">
      <calculatedColumnFormula>G2</calculatedColumnFormula>
    </tableColumn>
    <tableColumn id="12" xr3:uid="{474F96B5-1A7D-4279-A458-94336A2F9924}" name="Min">
      <calculatedColumnFormula xml:space="preserve"> G2/2</calculatedColumnFormula>
    </tableColumn>
    <tableColumn id="13" xr3:uid="{30F243B8-B9BB-4F1D-819A-025384B12EFE}" name="Max">
      <calculatedColumnFormula>G2*2</calculatedColumnFormula>
    </tableColumn>
    <tableColumn id="14" xr3:uid="{67C076B7-9777-43C4-AE55-47248735231A}" name="Std"/>
    <tableColumn id="15" xr3:uid="{6BA12046-1135-4CD4-BE3D-410AA1506DB9}" name="Distrib"/>
    <tableColumn id="16" xr3:uid="{FCAEC0F9-B443-4160-87B3-09B38E1C59CE}" name="Description"/>
    <tableColumn id="17" xr3:uid="{EFCD5876-B621-4C57-A213-E164E28C2F6A}" name="Label"/>
    <tableColumn id="18" xr3:uid="{838AAB85-EC5C-455D-96A9-B60C93E1849A}" name="Values"/>
    <tableColumn id="19" xr3:uid="{1FCB86E4-26E8-46EE-A4DC-C2DD02BDE5E7}" name="Weight"/>
    <tableColumn id="20" xr3:uid="{4FC789B4-5036-4FFC-910C-CAC6B93B6936}" name="datasheet"/>
    <tableColumn id="21" xr3:uid="{BF73718E-72A5-4731-A08C-067294D237BC}" name="Note"/>
    <tableColumn id="22" xr3:uid="{D13C84F1-C644-4D0D-BFBF-3E9EF74D0CCC}" name="EI activity name" dataDxfId="83"/>
    <tableColumn id="23" xr3:uid="{60C05413-7161-4DC3-8341-18C063F7C6DD}" name="Custom process name"/>
    <tableColumn id="7" xr3:uid="{B546D4E0-BF69-4702-8F5D-E55C3B9C47BE}" name="loc"/>
    <tableColumn id="8" xr3:uid="{A1FA904C-A3F3-4B6C-A9CB-C37CA4492297}" name="Modified process name"/>
    <tableColumn id="24" xr3:uid="{FF81588C-B774-4609-9BE1-A63A4A86BFBB}" name="Com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9AA1E1C-E6C6-4E0F-8343-622D2B6E9948}" name="Table14252426518212526" displayName="Table14252426518212526" ref="B1:Y3" totalsRowShown="0" headerRowDxfId="82" headerRowBorderDxfId="81" tableBorderDxfId="80">
  <autoFilter ref="B1:Y3" xr:uid="{E15ECCB3-CFAC-448F-9668-DE2B25CB41C6}"/>
  <sortState xmlns:xlrd2="http://schemas.microsoft.com/office/spreadsheetml/2017/richdata2" ref="B2:F3">
    <sortCondition ref="E1:E3"/>
  </sortState>
  <tableColumns count="24">
    <tableColumn id="1" xr3:uid="{3451C226-6CC5-4973-ABE0-EF524781F933}" name="LCA algebraic name" dataDxfId="79"/>
    <tableColumn id="2" xr3:uid="{641E8A4B-E23E-462F-ADB6-A7087ED0DC4C}" name="Reference in inventory" dataDxfId="78"/>
    <tableColumn id="3" xr3:uid="{1C0153EA-75C9-4400-B2FA-2A10C75C7246}" name="Qty" dataDxfId="77"/>
    <tableColumn id="5" xr3:uid="{D3911665-AC16-41A4-BF00-782247498031}" name="Unit" dataDxfId="76"/>
    <tableColumn id="4" xr3:uid="{13024817-B50B-467F-BB4F-7A720C6B870F}" name="Amount" dataDxfId="75"/>
    <tableColumn id="6" xr3:uid="{62BAA1B6-72EB-4CD7-8CAF-ADB233D7074F}" name="Total Qty (Qty*Amount)" dataDxfId="74">
      <calculatedColumnFormula>D2</calculatedColumnFormula>
    </tableColumn>
    <tableColumn id="9" xr3:uid="{0262422A-BD2A-48BB-9441-B0F312296F28}" name="parameter number"/>
    <tableColumn id="10" xr3:uid="{B3FAB455-A546-4ABF-9F05-DA8806306A8B}" name="Type"/>
    <tableColumn id="11" xr3:uid="{E5035B43-272B-4744-A4D9-14404952DC88}" name="Default">
      <calculatedColumnFormula>G2</calculatedColumnFormula>
    </tableColumn>
    <tableColumn id="12" xr3:uid="{2FEA8158-AD73-4E34-8C2C-A93338CC8787}" name="Min">
      <calculatedColumnFormula xml:space="preserve"> G2/2</calculatedColumnFormula>
    </tableColumn>
    <tableColumn id="13" xr3:uid="{076A0091-78E2-409A-88DF-1E646DB7DFEF}" name="Max">
      <calculatedColumnFormula>G2*2</calculatedColumnFormula>
    </tableColumn>
    <tableColumn id="14" xr3:uid="{E9CF3DBE-280B-4522-9B41-BBC62E28D1EE}" name="Std"/>
    <tableColumn id="15" xr3:uid="{F6C8A754-FA78-4FFC-856F-9CA57ADD96B6}" name="Distrib"/>
    <tableColumn id="16" xr3:uid="{0EB2BC98-6435-4ED6-8EF3-D99D531D0C24}" name="Description"/>
    <tableColumn id="17" xr3:uid="{D01D8BC4-A379-424E-925B-75402B43AA25}" name="Label"/>
    <tableColumn id="18" xr3:uid="{BEC16F6C-2562-41CE-AC38-0F5CC4A75654}" name="Values"/>
    <tableColumn id="19" xr3:uid="{20861548-5D00-4721-83AD-E6C2223DBA16}" name="Weight"/>
    <tableColumn id="20" xr3:uid="{1583E1E8-7DCB-48DB-94A8-8027DA0BB992}" name="datasheet"/>
    <tableColumn id="21" xr3:uid="{9F1C0EB4-03EB-47E2-9A2F-923F7AE07677}" name="Note"/>
    <tableColumn id="22" xr3:uid="{BA2DEC14-9D55-4554-89AA-223AE47EA0A0}" name="EI activity name" dataDxfId="73"/>
    <tableColumn id="23" xr3:uid="{BADAB2E0-7812-4508-A64D-51813CA578B8}" name="Custom process name"/>
    <tableColumn id="7" xr3:uid="{64217428-368F-404C-931C-408E1A36F813}" name="loc"/>
    <tableColumn id="8" xr3:uid="{C43B924C-04EB-49D6-B190-72AED72134A9}" name="Modified process name"/>
    <tableColumn id="24" xr3:uid="{62CB77DB-7D5D-43F1-9A6B-4A336DB1B655}" name="Com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9BDB451-3DB9-44A8-B1CF-47814BFF794C}" name="Table1425242651821252627" displayName="Table1425242651821252627" ref="B1:Y3" totalsRowShown="0" headerRowDxfId="72" headerRowBorderDxfId="71" tableBorderDxfId="70">
  <autoFilter ref="B1:Y3" xr:uid="{2CA01075-AEB6-4A7C-BFDC-5527CD36CD44}"/>
  <sortState xmlns:xlrd2="http://schemas.microsoft.com/office/spreadsheetml/2017/richdata2" ref="B2:F3">
    <sortCondition ref="E1:E3"/>
  </sortState>
  <tableColumns count="24">
    <tableColumn id="1" xr3:uid="{F7809699-23F3-4039-862F-1796CCF0214D}" name="LCA algebraic name" dataDxfId="69"/>
    <tableColumn id="2" xr3:uid="{C90F8EFF-7E2F-4387-8C29-2156BD45BB04}" name="Reference in inventory" dataDxfId="68"/>
    <tableColumn id="3" xr3:uid="{87054E81-B043-422D-83B1-1CCD4395A125}" name="Qty" dataDxfId="67"/>
    <tableColumn id="5" xr3:uid="{763C36C7-E6CD-4D40-8796-C698CDA2EC4E}" name="Unit" dataDxfId="66"/>
    <tableColumn id="4" xr3:uid="{7F0063C2-095C-4ACB-A47B-CCFF13CAC319}" name="Amount" dataDxfId="65"/>
    <tableColumn id="6" xr3:uid="{C1C088C6-233F-4761-ACBB-464B23C84139}" name="Total Qty (Qty*Amount)">
      <calculatedColumnFormula xml:space="preserve"> D2*F2</calculatedColumnFormula>
    </tableColumn>
    <tableColumn id="9" xr3:uid="{4CD294B0-F081-4832-8A5C-9CCC13259D1C}" name="parameter number"/>
    <tableColumn id="10" xr3:uid="{19EB3931-3E1E-4124-BA46-5FACB2FAAC5C}" name="Type"/>
    <tableColumn id="11" xr3:uid="{49869B75-69F8-43A7-B5F4-609E4CBD1A2B}" name="Default">
      <calculatedColumnFormula>G2</calculatedColumnFormula>
    </tableColumn>
    <tableColumn id="12" xr3:uid="{5BDDCA3E-0CB7-48BC-89DB-53237D0135AB}" name="Min">
      <calculatedColumnFormula xml:space="preserve"> G2/2</calculatedColumnFormula>
    </tableColumn>
    <tableColumn id="13" xr3:uid="{894D0284-507C-4DD4-A5A8-602014B60527}" name="Max">
      <calculatedColumnFormula>G2*2</calculatedColumnFormula>
    </tableColumn>
    <tableColumn id="14" xr3:uid="{C2828861-5231-4A89-9ED5-0B6EAAE43F76}" name="Std"/>
    <tableColumn id="15" xr3:uid="{366A01AB-F43B-46B3-B1EB-08D1CF87F990}" name="Distrib"/>
    <tableColumn id="16" xr3:uid="{E4EF5E21-70E1-4A8A-B036-A3EC61C36908}" name="Description"/>
    <tableColumn id="17" xr3:uid="{C2E482CE-AE9E-42A4-8BC8-494DD1F16D80}" name="Label"/>
    <tableColumn id="18" xr3:uid="{79AD8BB3-A655-4525-A3BA-07856B759C98}" name="Values"/>
    <tableColumn id="19" xr3:uid="{DBE3E66D-2465-49E5-8275-E5C2AC5F8758}" name="Weight"/>
    <tableColumn id="20" xr3:uid="{1825B361-5AC8-4CED-AE80-238950D89EB0}" name="datasheet"/>
    <tableColumn id="21" xr3:uid="{11C43278-B9F2-4EB0-8E38-721241B7E152}" name="Note"/>
    <tableColumn id="22" xr3:uid="{3B0276A4-32D4-4F78-9757-5F8FC6A1EB70}" name="EI activity name" dataDxfId="64"/>
    <tableColumn id="23" xr3:uid="{9BC9E577-70E0-4552-BADC-EF003E8EDA23}" name="Custom process name"/>
    <tableColumn id="7" xr3:uid="{FACA6587-2EA3-42DC-8092-69F3E175220B}" name="loc"/>
    <tableColumn id="8" xr3:uid="{FF1E4368-AF3C-4001-BD2F-A34306F5367B}" name="Modified process name"/>
    <tableColumn id="24" xr3:uid="{437C1A9E-1F2F-4BF8-81C8-5A5F9DB2F221}" name="Comm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6B43DCE-37F6-49BD-9F39-141500348B7A}" name="Table1425242657" displayName="Table1425242657" ref="B1:Y4" totalsRowShown="0" headerRowDxfId="63" headerRowBorderDxfId="62" tableBorderDxfId="61">
  <autoFilter ref="B1:Y4" xr:uid="{B00250A2-FF08-465A-8C2F-B15723E69473}"/>
  <sortState xmlns:xlrd2="http://schemas.microsoft.com/office/spreadsheetml/2017/richdata2" ref="B2:F4">
    <sortCondition ref="E1:E4"/>
  </sortState>
  <tableColumns count="24">
    <tableColumn id="1" xr3:uid="{FF9C5D40-02B4-4267-A84B-601B144316C4}" name="LCA algebraic name" dataDxfId="60"/>
    <tableColumn id="2" xr3:uid="{3826C7E1-9F3C-4B91-8C75-E70EE2D05EC0}" name="Reference in inventory" dataDxfId="59"/>
    <tableColumn id="3" xr3:uid="{72736628-A484-4EB1-B38D-9D03EB8E2C1F}" name="Qty" dataDxfId="58"/>
    <tableColumn id="5" xr3:uid="{F7E3C6E1-8888-49F6-B1B4-3B70E156F339}" name="Unit" dataDxfId="57"/>
    <tableColumn id="4" xr3:uid="{A66ED5B8-05BD-4E32-8C78-3C5D29E543D8}" name="Amount" dataDxfId="56"/>
    <tableColumn id="6" xr3:uid="{1F2CFBB6-D9EA-4C32-A33F-9B557E342866}" name="Total Qty (Qty*Amount)">
      <calculatedColumnFormula xml:space="preserve"> D2*F2</calculatedColumnFormula>
    </tableColumn>
    <tableColumn id="9" xr3:uid="{E15EBB32-A56E-4C77-B668-C4CBE18B03DC}" name="parameter number"/>
    <tableColumn id="10" xr3:uid="{72291B03-82E5-44B6-8D7E-DACA74F27C73}" name="Type"/>
    <tableColumn id="11" xr3:uid="{ED0BFE40-2901-4159-BF11-BF6D3E800B6B}" name="Default">
      <calculatedColumnFormula>G2</calculatedColumnFormula>
    </tableColumn>
    <tableColumn id="12" xr3:uid="{5F3A8AC4-472E-4FB7-8E30-FC1039AFD9B6}" name="Min">
      <calculatedColumnFormula xml:space="preserve"> G2/2</calculatedColumnFormula>
    </tableColumn>
    <tableColumn id="13" xr3:uid="{19E61BF9-3D0E-4AC8-B438-9906D0B239DF}" name="Max">
      <calculatedColumnFormula>G2*2</calculatedColumnFormula>
    </tableColumn>
    <tableColumn id="14" xr3:uid="{583CEC88-C65C-462F-9016-79005A28063C}" name="Std"/>
    <tableColumn id="15" xr3:uid="{FEAEB019-2784-4DD5-BCE8-3D4ED728B433}" name="Distrib"/>
    <tableColumn id="16" xr3:uid="{6EFA9F7A-A564-4C36-A85D-0CADD2B50138}" name="Description"/>
    <tableColumn id="17" xr3:uid="{E0B96629-FBA5-43C5-8D21-775F0EBFABA6}" name="Label"/>
    <tableColumn id="18" xr3:uid="{E2948442-54D5-4EDA-98DE-A9B9A453867D}" name="Values"/>
    <tableColumn id="19" xr3:uid="{2FB79153-469A-4FCB-A94A-1A8DD9535B12}" name="Weight"/>
    <tableColumn id="20" xr3:uid="{5A196682-FD86-4630-822C-6022A317862D}" name="datasheet"/>
    <tableColumn id="21" xr3:uid="{6A609EB1-8D0E-4371-9904-AC39C3D04243}" name="Note"/>
    <tableColumn id="22" xr3:uid="{1F34C91E-B701-4213-917C-90D3433D3CED}" name="EI activity name" dataDxfId="55"/>
    <tableColumn id="23" xr3:uid="{E1444ABE-CDD7-44EA-B8C1-5D060712133A}" name="Custom process name"/>
    <tableColumn id="7" xr3:uid="{420CCCE5-C931-4A95-A2B6-0363112382D5}" name="loc"/>
    <tableColumn id="8" xr3:uid="{97FA7880-5F08-416E-9197-3C7C74B61C60}" name="Modified process name"/>
    <tableColumn id="24" xr3:uid="{16036CB1-50D9-4673-AB39-AFD5D523B45E}" name="Comm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936AE9-A46D-42A6-BD2B-0E2EA935E584}" name="Table1425242657246" displayName="Table1425242657246" ref="B1:Y3" totalsRowShown="0" headerRowDxfId="54" headerRowBorderDxfId="53" tableBorderDxfId="52">
  <autoFilter ref="B1:Y3" xr:uid="{2D936AE9-A46D-42A6-BD2B-0E2EA935E584}"/>
  <sortState xmlns:xlrd2="http://schemas.microsoft.com/office/spreadsheetml/2017/richdata2" ref="B2:F3">
    <sortCondition ref="E1:E3"/>
  </sortState>
  <tableColumns count="24">
    <tableColumn id="1" xr3:uid="{3947CDB4-7CBE-490E-8061-FADDD272EC19}" name="LCA algebraic name" dataDxfId="51"/>
    <tableColumn id="2" xr3:uid="{D0EE12D2-4B26-49FA-B8E6-8CFFF73A2422}" name="Reference in inventory" dataDxfId="50"/>
    <tableColumn id="3" xr3:uid="{C7104F31-E188-47BC-8844-8197574F84A2}" name="Qty" dataDxfId="49"/>
    <tableColumn id="5" xr3:uid="{B8876240-35BB-4C41-938C-4362C3122B74}" name="Unit" dataDxfId="48"/>
    <tableColumn id="4" xr3:uid="{75F7217B-9B56-4092-A632-3E6ABB562503}" name="Amount" dataDxfId="47"/>
    <tableColumn id="6" xr3:uid="{57F7FF82-B191-49B3-8CC2-838F6F65E3F2}" name="Total Qty (Qty*Amount)">
      <calculatedColumnFormula xml:space="preserve"> D2*F2</calculatedColumnFormula>
    </tableColumn>
    <tableColumn id="9" xr3:uid="{B4BE6005-C2BC-424D-B61D-DD66E509ED31}" name="parameter number"/>
    <tableColumn id="10" xr3:uid="{D3FDC4AE-C661-48C2-8D6C-224FECD9B5B6}" name="Type"/>
    <tableColumn id="11" xr3:uid="{3DEB6305-8E1D-4E15-90A9-C753DBFAA542}" name="Default">
      <calculatedColumnFormula>G2</calculatedColumnFormula>
    </tableColumn>
    <tableColumn id="12" xr3:uid="{ED248B9C-B476-4696-AEF6-713F510DB14E}" name="Min">
      <calculatedColumnFormula xml:space="preserve"> G2/2</calculatedColumnFormula>
    </tableColumn>
    <tableColumn id="13" xr3:uid="{D5C2338C-6A15-482F-A7B6-ABAD5EBDE38E}" name="Max">
      <calculatedColumnFormula>G2*2</calculatedColumnFormula>
    </tableColumn>
    <tableColumn id="14" xr3:uid="{3A0183CB-3829-4531-A993-69F8FAF37409}" name="Std"/>
    <tableColumn id="15" xr3:uid="{312731A4-18F8-41E9-B46B-0D6A2779F848}" name="Distrib"/>
    <tableColumn id="16" xr3:uid="{DF1A1A75-AAA4-4626-93B2-698B6653D71D}" name="Description"/>
    <tableColumn id="17" xr3:uid="{64CCE7AC-9F77-4B4E-90ED-72D22EE5DAF0}" name="Label"/>
    <tableColumn id="18" xr3:uid="{F83937FA-0365-4768-B8F9-EE229BB0A7B6}" name="Values"/>
    <tableColumn id="19" xr3:uid="{6C6EB7E3-50C8-4DC0-96B0-6EC99E66C06C}" name="Weight"/>
    <tableColumn id="20" xr3:uid="{55221503-8525-40B2-B841-3FA757C257FC}" name="datasheet"/>
    <tableColumn id="21" xr3:uid="{22403C82-104A-4ADA-93AF-71CF54AA4859}" name="Note"/>
    <tableColumn id="22" xr3:uid="{8390F7E3-853B-48A2-B0B9-14BA1EA0A6D0}" name="EI activity name" dataDxfId="46"/>
    <tableColumn id="23" xr3:uid="{CDF7F7E9-46B9-41BD-88F1-2B1F5FFAD67B}" name="Custom process name"/>
    <tableColumn id="7" xr3:uid="{3AE2B0D5-4D3C-4F70-80FA-C6467300567A}" name="loc"/>
    <tableColumn id="8" xr3:uid="{8E9FFAE6-40DA-41AB-AA41-6BAEA14BDA63}" name="Modified process name"/>
    <tableColumn id="24" xr3:uid="{D809AE45-4574-40F7-B161-5B4FA97B37A6}" name="Comme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0A95764-6E13-4C16-91E3-A58DBA188078}" name="Table142524265723" displayName="Table142524265723" ref="B1:Y4" totalsRowShown="0" headerRowDxfId="45" dataDxfId="43" headerRowBorderDxfId="44" tableBorderDxfId="42">
  <autoFilter ref="B1:Y4" xr:uid="{8D5180A4-972D-47B7-9655-F6AF099C21F0}"/>
  <sortState xmlns:xlrd2="http://schemas.microsoft.com/office/spreadsheetml/2017/richdata2" ref="B2:F4">
    <sortCondition ref="E1:E4"/>
  </sortState>
  <tableColumns count="24">
    <tableColumn id="1" xr3:uid="{071C3D00-D2EC-4C0F-9887-9B01347BE59D}" name="LCA algebraic name" dataDxfId="41"/>
    <tableColumn id="2" xr3:uid="{89A31BE6-0005-4184-A733-8C18CA48825B}" name="Reference in inventory" dataDxfId="40"/>
    <tableColumn id="3" xr3:uid="{46D5007A-F828-4D5B-BAD1-1C3DC322AAE0}" name="Qty" dataDxfId="39"/>
    <tableColumn id="5" xr3:uid="{E4E13880-79A5-45FF-B3B1-E5FD47EF5BA5}" name="Unit" dataDxfId="38"/>
    <tableColumn id="4" xr3:uid="{B006D9C5-1929-482D-B89A-970D0DA48134}" name="Amount" dataDxfId="37"/>
    <tableColumn id="6" xr3:uid="{52136806-2A9A-4645-BF02-3392CB75A92D}" name="Total Qty (Qty*Amount)" dataDxfId="36">
      <calculatedColumnFormula xml:space="preserve"> D2*F2</calculatedColumnFormula>
    </tableColumn>
    <tableColumn id="9" xr3:uid="{51D9809F-E774-4067-964F-CC325F103B92}" name="parameter number" dataDxfId="35"/>
    <tableColumn id="10" xr3:uid="{17EA232A-7DD9-4849-A9B7-4961721954AC}" name="Type" dataDxfId="34"/>
    <tableColumn id="11" xr3:uid="{DBB0646B-7AA6-4B2C-B2CB-C5F01EF9BE8C}" name="Default" dataDxfId="33">
      <calculatedColumnFormula>G2</calculatedColumnFormula>
    </tableColumn>
    <tableColumn id="12" xr3:uid="{1AC954D4-3C81-4119-B8B4-220C9AE9DC15}" name="Min" dataDxfId="32">
      <calculatedColumnFormula xml:space="preserve"> G2/2</calculatedColumnFormula>
    </tableColumn>
    <tableColumn id="13" xr3:uid="{91A9F21B-4BBA-4711-8A58-D4937A8FD67D}" name="Max" dataDxfId="31">
      <calculatedColumnFormula>G2*2</calculatedColumnFormula>
    </tableColumn>
    <tableColumn id="14" xr3:uid="{28623C39-E814-44F2-A775-1B71121ACC9F}" name="Std" dataDxfId="30"/>
    <tableColumn id="15" xr3:uid="{80622A17-A88E-45C3-8446-DFF81C97F203}" name="Distrib" dataDxfId="29"/>
    <tableColumn id="16" xr3:uid="{394DA5B4-2D0C-4CD0-9964-0F96B12B98B0}" name="Description" dataDxfId="28"/>
    <tableColumn id="17" xr3:uid="{A8B31A87-F098-41E4-B4B9-ED0CC7AB81C2}" name="Label" dataDxfId="27"/>
    <tableColumn id="18" xr3:uid="{106DC41E-2080-44EA-B6B8-70D627066170}" name="Values" dataDxfId="26"/>
    <tableColumn id="19" xr3:uid="{B2511CA3-5FA4-44E6-BF62-A675B5CCB868}" name="Weight" dataDxfId="25"/>
    <tableColumn id="20" xr3:uid="{E3FEE777-F6EA-4D16-9DCB-9C83725B7737}" name="datasheet" dataDxfId="24"/>
    <tableColumn id="21" xr3:uid="{65E38BF6-68CD-43F4-8143-D6D8AFF2B23B}" name="Note" dataDxfId="23"/>
    <tableColumn id="22" xr3:uid="{587DE7E9-5480-4472-979F-4C36CDCDD104}" name="EI activity name" dataDxfId="22"/>
    <tableColumn id="23" xr3:uid="{3BB0F0F2-AD39-4DC8-8E47-AB7226F1721E}" name="Custom process name" dataDxfId="21"/>
    <tableColumn id="7" xr3:uid="{EA7A5047-631B-4C31-8B00-80143637EE23}" name="loc" dataDxfId="20"/>
    <tableColumn id="8" xr3:uid="{F24E3958-17B4-434F-ABAD-232CE4E03022}" name="Modified process name" dataDxfId="19"/>
    <tableColumn id="24" xr3:uid="{9FB38E7F-8994-4253-A1DA-7BC3602E9369}" name="Comment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9214-7C89-43A7-9AF2-748A7F5F3364}">
  <sheetPr codeName="Sheet10">
    <tabColor rgb="FF00B050"/>
  </sheetPr>
  <dimension ref="A1:Y4"/>
  <sheetViews>
    <sheetView topLeftCell="H1" workbookViewId="0">
      <selection activeCell="V1" sqref="V1:Y1"/>
    </sheetView>
  </sheetViews>
  <sheetFormatPr defaultColWidth="9.140625" defaultRowHeight="15"/>
  <cols>
    <col min="1" max="1" width="25.28515625" customWidth="1"/>
    <col min="2" max="2" width="19.85546875" bestFit="1" customWidth="1"/>
    <col min="3" max="3" width="10.42578125" customWidth="1"/>
    <col min="4" max="4" width="6.28515625" bestFit="1" customWidth="1"/>
    <col min="5" max="5" width="6.7109375" bestFit="1" customWidth="1"/>
    <col min="6" max="6" width="9.85546875" customWidth="1"/>
    <col min="7" max="7" width="14.140625" bestFit="1" customWidth="1"/>
    <col min="8" max="8" width="18.42578125" bestFit="1" customWidth="1"/>
    <col min="9" max="9" width="7.28515625" bestFit="1" customWidth="1"/>
    <col min="10" max="10" width="9.28515625" bestFit="1" customWidth="1"/>
    <col min="11" max="11" width="6.5703125" bestFit="1" customWidth="1"/>
    <col min="12" max="12" width="6.85546875" bestFit="1" customWidth="1"/>
    <col min="13" max="13" width="6" bestFit="1" customWidth="1"/>
    <col min="14" max="14" width="9.28515625" bestFit="1" customWidth="1"/>
    <col min="15" max="15" width="5.28515625" customWidth="1"/>
    <col min="16" max="16" width="21.7109375" customWidth="1"/>
    <col min="17" max="17" width="4.5703125" customWidth="1"/>
    <col min="18" max="18" width="5" customWidth="1"/>
    <col min="19" max="19" width="11.5703125" bestFit="1" customWidth="1"/>
    <col min="20" max="20" width="49.42578125" customWidth="1"/>
    <col min="21" max="21" width="45.28515625" bestFit="1" customWidth="1"/>
    <col min="22" max="22" width="5.7109375" bestFit="1" customWidth="1"/>
  </cols>
  <sheetData>
    <row r="1" spans="1:25" ht="60">
      <c r="A1" s="7" t="s">
        <v>0</v>
      </c>
      <c r="B1" s="4" t="s">
        <v>24</v>
      </c>
      <c r="C1" s="4" t="s">
        <v>7</v>
      </c>
      <c r="D1" s="1" t="s">
        <v>4</v>
      </c>
      <c r="E1" s="1" t="s">
        <v>3</v>
      </c>
      <c r="F1" s="1" t="s">
        <v>5</v>
      </c>
      <c r="G1" s="8" t="s">
        <v>9</v>
      </c>
      <c r="H1" s="8" t="s">
        <v>86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15</v>
      </c>
      <c r="N1" s="8" t="s">
        <v>16</v>
      </c>
      <c r="O1" s="8" t="s">
        <v>17</v>
      </c>
      <c r="P1" s="8" t="s">
        <v>10</v>
      </c>
      <c r="Q1" s="8" t="s">
        <v>18</v>
      </c>
      <c r="R1" s="8" t="s">
        <v>19</v>
      </c>
      <c r="S1" s="8" t="s">
        <v>1</v>
      </c>
      <c r="T1" s="8" t="s">
        <v>2</v>
      </c>
      <c r="U1" s="2" t="s">
        <v>8</v>
      </c>
      <c r="V1" s="24" t="s">
        <v>87</v>
      </c>
      <c r="W1" s="9" t="s">
        <v>22</v>
      </c>
      <c r="X1" s="9" t="s">
        <v>89</v>
      </c>
      <c r="Y1" s="25" t="s">
        <v>88</v>
      </c>
    </row>
    <row r="2" spans="1:25">
      <c r="A2" s="6" t="s">
        <v>64</v>
      </c>
      <c r="B2" s="3" t="s">
        <v>66</v>
      </c>
      <c r="C2" s="3"/>
      <c r="D2" s="3">
        <v>1.006</v>
      </c>
      <c r="E2" s="5" t="s">
        <v>29</v>
      </c>
      <c r="F2">
        <v>1</v>
      </c>
      <c r="G2">
        <f t="shared" ref="G2:G3" si="0" xml:space="preserve"> D2*F2</f>
        <v>1.006</v>
      </c>
      <c r="H2">
        <v>1</v>
      </c>
      <c r="I2" t="s">
        <v>21</v>
      </c>
      <c r="J2">
        <f>G2</f>
        <v>1.006</v>
      </c>
      <c r="K2">
        <v>1.006</v>
      </c>
      <c r="L2">
        <f xml:space="preserve"> 1.006*1.1</f>
        <v>1.1066</v>
      </c>
      <c r="N2" t="s">
        <v>20</v>
      </c>
      <c r="P2" s="3" t="s">
        <v>66</v>
      </c>
      <c r="S2" t="s">
        <v>6</v>
      </c>
      <c r="T2" t="s">
        <v>46</v>
      </c>
      <c r="U2" s="13" t="s">
        <v>25</v>
      </c>
      <c r="W2" t="s">
        <v>23</v>
      </c>
    </row>
    <row r="3" spans="1:25">
      <c r="A3" s="10" t="s">
        <v>65</v>
      </c>
      <c r="B3" s="3" t="s">
        <v>67</v>
      </c>
      <c r="C3" s="3"/>
      <c r="D3" s="3">
        <v>1.006</v>
      </c>
      <c r="E3" s="5" t="s">
        <v>29</v>
      </c>
      <c r="F3">
        <v>1</v>
      </c>
      <c r="G3">
        <f t="shared" si="0"/>
        <v>1.006</v>
      </c>
      <c r="H3">
        <v>2</v>
      </c>
      <c r="I3" t="s">
        <v>21</v>
      </c>
      <c r="J3">
        <f>G3</f>
        <v>1.006</v>
      </c>
      <c r="K3">
        <v>1.006</v>
      </c>
      <c r="L3">
        <f xml:space="preserve"> 1.006*1.1</f>
        <v>1.1066</v>
      </c>
      <c r="N3" t="s">
        <v>20</v>
      </c>
      <c r="P3" s="3" t="s">
        <v>67</v>
      </c>
      <c r="S3" t="s">
        <v>6</v>
      </c>
      <c r="T3" t="s">
        <v>46</v>
      </c>
      <c r="U3" s="13" t="s">
        <v>27</v>
      </c>
      <c r="W3" t="s">
        <v>23</v>
      </c>
    </row>
    <row r="4" spans="1: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</sheetData>
  <conditionalFormatting sqref="D1:R1">
    <cfRule type="cellIs" dxfId="17" priority="1" operator="equal">
      <formula>"Elec"</formula>
    </cfRule>
    <cfRule type="cellIs" dxfId="16" priority="2" operator="equal">
      <formula>"Mech"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1D1C7-E9E4-4732-9AA3-501126FFB19B}">
  <sheetPr codeName="Sheet11">
    <tabColor rgb="FF00B050"/>
  </sheetPr>
  <dimension ref="A1:Y4"/>
  <sheetViews>
    <sheetView topLeftCell="I1" workbookViewId="0">
      <selection activeCell="V1" sqref="V1:Y1"/>
    </sheetView>
  </sheetViews>
  <sheetFormatPr defaultColWidth="9.140625" defaultRowHeight="15"/>
  <cols>
    <col min="1" max="1" width="20.7109375" customWidth="1"/>
    <col min="2" max="2" width="19.85546875" bestFit="1" customWidth="1"/>
    <col min="3" max="3" width="10.42578125" customWidth="1"/>
    <col min="4" max="4" width="6.28515625" bestFit="1" customWidth="1"/>
    <col min="5" max="5" width="6.7109375" bestFit="1" customWidth="1"/>
    <col min="6" max="6" width="9.85546875" customWidth="1"/>
    <col min="7" max="7" width="14.140625" bestFit="1" customWidth="1"/>
    <col min="8" max="8" width="27.28515625" customWidth="1"/>
    <col min="9" max="9" width="7.28515625" bestFit="1" customWidth="1"/>
    <col min="10" max="10" width="9.28515625" bestFit="1" customWidth="1"/>
    <col min="11" max="11" width="6.5703125" bestFit="1" customWidth="1"/>
    <col min="12" max="12" width="6.85546875" bestFit="1" customWidth="1"/>
    <col min="13" max="13" width="6" bestFit="1" customWidth="1"/>
    <col min="14" max="14" width="9.28515625" bestFit="1" customWidth="1"/>
    <col min="15" max="15" width="5.28515625" customWidth="1"/>
    <col min="16" max="16" width="21.7109375" customWidth="1"/>
    <col min="17" max="17" width="4.5703125" customWidth="1"/>
    <col min="18" max="18" width="5" customWidth="1"/>
    <col min="19" max="19" width="11.5703125" bestFit="1" customWidth="1"/>
    <col min="20" max="20" width="53" customWidth="1"/>
    <col min="21" max="21" width="45.28515625" bestFit="1" customWidth="1"/>
    <col min="22" max="22" width="5.7109375" bestFit="1" customWidth="1"/>
  </cols>
  <sheetData>
    <row r="1" spans="1:25" ht="60">
      <c r="A1" s="7" t="s">
        <v>0</v>
      </c>
      <c r="B1" s="4" t="s">
        <v>24</v>
      </c>
      <c r="C1" s="4" t="s">
        <v>7</v>
      </c>
      <c r="D1" s="1" t="s">
        <v>4</v>
      </c>
      <c r="E1" s="1" t="s">
        <v>3</v>
      </c>
      <c r="F1" s="1" t="s">
        <v>5</v>
      </c>
      <c r="G1" s="8" t="s">
        <v>9</v>
      </c>
      <c r="H1" s="8" t="s">
        <v>86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15</v>
      </c>
      <c r="N1" s="8" t="s">
        <v>16</v>
      </c>
      <c r="O1" s="8" t="s">
        <v>17</v>
      </c>
      <c r="P1" s="8" t="s">
        <v>10</v>
      </c>
      <c r="Q1" s="8" t="s">
        <v>18</v>
      </c>
      <c r="R1" s="8" t="s">
        <v>19</v>
      </c>
      <c r="S1" s="8" t="s">
        <v>1</v>
      </c>
      <c r="T1" s="8" t="s">
        <v>2</v>
      </c>
      <c r="U1" s="2" t="s">
        <v>8</v>
      </c>
      <c r="V1" s="24" t="s">
        <v>87</v>
      </c>
      <c r="W1" s="9" t="s">
        <v>22</v>
      </c>
      <c r="X1" s="9" t="s">
        <v>89</v>
      </c>
      <c r="Y1" s="25" t="s">
        <v>88</v>
      </c>
    </row>
    <row r="2" spans="1:25">
      <c r="A2" s="6" t="s">
        <v>42</v>
      </c>
      <c r="B2" s="6" t="s">
        <v>44</v>
      </c>
      <c r="C2" s="3"/>
      <c r="D2" s="3">
        <v>1.006</v>
      </c>
      <c r="E2" s="5" t="s">
        <v>29</v>
      </c>
      <c r="F2">
        <v>1</v>
      </c>
      <c r="G2">
        <f t="shared" ref="G2:G3" si="0" xml:space="preserve"> D2*F2</f>
        <v>1.006</v>
      </c>
      <c r="H2">
        <v>1</v>
      </c>
      <c r="I2" t="s">
        <v>21</v>
      </c>
      <c r="J2">
        <f>G2</f>
        <v>1.006</v>
      </c>
      <c r="K2">
        <v>1.006</v>
      </c>
      <c r="L2">
        <f xml:space="preserve"> 1.006*1.1</f>
        <v>1.1066</v>
      </c>
      <c r="N2" t="s">
        <v>20</v>
      </c>
      <c r="P2" s="6" t="s">
        <v>44</v>
      </c>
      <c r="S2" t="s">
        <v>6</v>
      </c>
      <c r="T2" t="s">
        <v>46</v>
      </c>
      <c r="U2" s="22" t="s">
        <v>41</v>
      </c>
      <c r="W2" t="s">
        <v>23</v>
      </c>
    </row>
    <row r="3" spans="1:25">
      <c r="A3" s="10" t="s">
        <v>43</v>
      </c>
      <c r="B3" s="10" t="s">
        <v>45</v>
      </c>
      <c r="C3" s="3"/>
      <c r="D3" s="3">
        <v>1.006</v>
      </c>
      <c r="E3" s="5" t="s">
        <v>29</v>
      </c>
      <c r="F3">
        <v>1</v>
      </c>
      <c r="G3">
        <f t="shared" si="0"/>
        <v>1.006</v>
      </c>
      <c r="H3">
        <v>2</v>
      </c>
      <c r="I3" t="s">
        <v>21</v>
      </c>
      <c r="J3">
        <f>G3</f>
        <v>1.006</v>
      </c>
      <c r="K3">
        <v>1.006</v>
      </c>
      <c r="L3">
        <f xml:space="preserve"> 1.006*1.1</f>
        <v>1.1066</v>
      </c>
      <c r="N3" t="s">
        <v>20</v>
      </c>
      <c r="P3" s="10" t="s">
        <v>45</v>
      </c>
      <c r="S3" t="s">
        <v>6</v>
      </c>
      <c r="T3" t="s">
        <v>46</v>
      </c>
      <c r="U3" s="13" t="s">
        <v>27</v>
      </c>
      <c r="W3" t="s">
        <v>23</v>
      </c>
    </row>
    <row r="4" spans="1: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</sheetData>
  <conditionalFormatting sqref="D1:R1">
    <cfRule type="cellIs" dxfId="15" priority="1" operator="equal">
      <formula>"Elec"</formula>
    </cfRule>
    <cfRule type="cellIs" dxfId="14" priority="2" operator="equal">
      <formula>"Mech"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71FD8-1B40-4DEB-AAC9-25E181CE8BA1}">
  <sheetPr codeName="Sheet12">
    <tabColor rgb="FF00B050"/>
  </sheetPr>
  <dimension ref="A1:Y4"/>
  <sheetViews>
    <sheetView topLeftCell="I1" workbookViewId="0">
      <selection activeCell="V1" sqref="V1:Y1"/>
    </sheetView>
  </sheetViews>
  <sheetFormatPr defaultColWidth="9.140625" defaultRowHeight="15"/>
  <cols>
    <col min="1" max="1" width="20.7109375" customWidth="1"/>
    <col min="2" max="2" width="19.85546875" bestFit="1" customWidth="1"/>
    <col min="3" max="3" width="10.42578125" customWidth="1"/>
    <col min="4" max="4" width="6.28515625" bestFit="1" customWidth="1"/>
    <col min="5" max="5" width="6.7109375" bestFit="1" customWidth="1"/>
    <col min="6" max="6" width="9.85546875" customWidth="1"/>
    <col min="7" max="7" width="14.140625" bestFit="1" customWidth="1"/>
    <col min="8" max="8" width="46.140625" customWidth="1"/>
    <col min="9" max="9" width="7.28515625" bestFit="1" customWidth="1"/>
    <col min="10" max="10" width="9.28515625" bestFit="1" customWidth="1"/>
    <col min="11" max="11" width="6.5703125" bestFit="1" customWidth="1"/>
    <col min="12" max="12" width="6.85546875" bestFit="1" customWidth="1"/>
    <col min="13" max="13" width="6" bestFit="1" customWidth="1"/>
    <col min="14" max="14" width="9.28515625" bestFit="1" customWidth="1"/>
    <col min="15" max="15" width="5.28515625" customWidth="1"/>
    <col min="16" max="16" width="21.7109375" customWidth="1"/>
    <col min="17" max="17" width="4.5703125" customWidth="1"/>
    <col min="18" max="18" width="5" customWidth="1"/>
    <col min="19" max="19" width="11.5703125" bestFit="1" customWidth="1"/>
    <col min="20" max="20" width="53" customWidth="1"/>
    <col min="21" max="21" width="45.28515625" bestFit="1" customWidth="1"/>
    <col min="22" max="22" width="5.7109375" bestFit="1" customWidth="1"/>
  </cols>
  <sheetData>
    <row r="1" spans="1:25" ht="60">
      <c r="A1" s="7" t="s">
        <v>0</v>
      </c>
      <c r="B1" s="4" t="s">
        <v>24</v>
      </c>
      <c r="C1" s="4" t="s">
        <v>7</v>
      </c>
      <c r="D1" s="1" t="s">
        <v>4</v>
      </c>
      <c r="E1" s="1" t="s">
        <v>3</v>
      </c>
      <c r="F1" s="1" t="s">
        <v>5</v>
      </c>
      <c r="G1" s="8" t="s">
        <v>9</v>
      </c>
      <c r="H1" s="8" t="s">
        <v>86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15</v>
      </c>
      <c r="N1" s="8" t="s">
        <v>16</v>
      </c>
      <c r="O1" s="8" t="s">
        <v>17</v>
      </c>
      <c r="P1" s="8" t="s">
        <v>10</v>
      </c>
      <c r="Q1" s="8" t="s">
        <v>18</v>
      </c>
      <c r="R1" s="8" t="s">
        <v>19</v>
      </c>
      <c r="S1" s="8" t="s">
        <v>1</v>
      </c>
      <c r="T1" s="8" t="s">
        <v>2</v>
      </c>
      <c r="U1" s="2" t="s">
        <v>8</v>
      </c>
      <c r="V1" s="24" t="s">
        <v>87</v>
      </c>
      <c r="W1" s="9" t="s">
        <v>22</v>
      </c>
      <c r="X1" s="9" t="s">
        <v>89</v>
      </c>
      <c r="Y1" s="25" t="s">
        <v>88</v>
      </c>
    </row>
    <row r="2" spans="1:25">
      <c r="A2" s="6" t="s">
        <v>47</v>
      </c>
      <c r="B2" s="6" t="s">
        <v>50</v>
      </c>
      <c r="C2" s="3"/>
      <c r="D2" s="3">
        <v>1.006</v>
      </c>
      <c r="E2" s="5" t="s">
        <v>29</v>
      </c>
      <c r="F2">
        <v>1</v>
      </c>
      <c r="G2">
        <f t="shared" ref="G2:G3" si="0" xml:space="preserve"> D2*F2</f>
        <v>1.006</v>
      </c>
      <c r="H2">
        <v>1</v>
      </c>
      <c r="I2" t="s">
        <v>21</v>
      </c>
      <c r="J2">
        <f>G2</f>
        <v>1.006</v>
      </c>
      <c r="K2">
        <v>1.006</v>
      </c>
      <c r="L2">
        <f xml:space="preserve"> 1.006*1.1</f>
        <v>1.1066</v>
      </c>
      <c r="N2" t="s">
        <v>20</v>
      </c>
      <c r="P2" s="6" t="s">
        <v>50</v>
      </c>
      <c r="S2" t="s">
        <v>6</v>
      </c>
      <c r="T2" t="s">
        <v>46</v>
      </c>
      <c r="U2" s="12" t="s">
        <v>59</v>
      </c>
      <c r="W2" t="s">
        <v>23</v>
      </c>
    </row>
    <row r="3" spans="1:25">
      <c r="A3" s="10" t="s">
        <v>48</v>
      </c>
      <c r="B3" s="10" t="s">
        <v>49</v>
      </c>
      <c r="C3" s="3"/>
      <c r="D3" s="3">
        <v>1.006</v>
      </c>
      <c r="E3" s="5" t="s">
        <v>29</v>
      </c>
      <c r="F3">
        <v>1</v>
      </c>
      <c r="G3">
        <f t="shared" si="0"/>
        <v>1.006</v>
      </c>
      <c r="H3">
        <v>2</v>
      </c>
      <c r="I3" t="s">
        <v>21</v>
      </c>
      <c r="J3">
        <f>G3</f>
        <v>1.006</v>
      </c>
      <c r="K3">
        <v>1.006</v>
      </c>
      <c r="L3">
        <f xml:space="preserve"> 1.006*1.1</f>
        <v>1.1066</v>
      </c>
      <c r="N3" t="s">
        <v>20</v>
      </c>
      <c r="P3" s="10" t="s">
        <v>49</v>
      </c>
      <c r="S3" t="s">
        <v>6</v>
      </c>
      <c r="T3" t="s">
        <v>46</v>
      </c>
      <c r="U3" s="13" t="s">
        <v>27</v>
      </c>
      <c r="W3" t="s">
        <v>23</v>
      </c>
    </row>
    <row r="4" spans="1: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</sheetData>
  <phoneticPr fontId="9" type="noConversion"/>
  <conditionalFormatting sqref="D1:R1">
    <cfRule type="cellIs" dxfId="13" priority="1" operator="equal">
      <formula>"Elec"</formula>
    </cfRule>
    <cfRule type="cellIs" dxfId="12" priority="2" operator="equal">
      <formula>"Mech"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0EB68-8C5C-4FD0-A5AE-F94A9AD28DAF}">
  <sheetPr codeName="Sheet13">
    <tabColor rgb="FF00B050"/>
  </sheetPr>
  <dimension ref="A1:Y4"/>
  <sheetViews>
    <sheetView topLeftCell="H1" workbookViewId="0">
      <selection activeCell="V1" sqref="V1:Y1"/>
    </sheetView>
  </sheetViews>
  <sheetFormatPr defaultColWidth="9.140625" defaultRowHeight="15"/>
  <cols>
    <col min="1" max="1" width="20.7109375" customWidth="1"/>
    <col min="2" max="2" width="19.85546875" bestFit="1" customWidth="1"/>
    <col min="3" max="3" width="10.42578125" customWidth="1"/>
    <col min="4" max="4" width="6.28515625" bestFit="1" customWidth="1"/>
    <col min="5" max="5" width="6.7109375" bestFit="1" customWidth="1"/>
    <col min="6" max="6" width="9.85546875" customWidth="1"/>
    <col min="7" max="7" width="14.140625" bestFit="1" customWidth="1"/>
    <col min="8" max="8" width="46.140625" customWidth="1"/>
    <col min="9" max="9" width="7.28515625" bestFit="1" customWidth="1"/>
    <col min="10" max="10" width="9.28515625" bestFit="1" customWidth="1"/>
    <col min="11" max="11" width="6.5703125" bestFit="1" customWidth="1"/>
    <col min="12" max="12" width="6.85546875" bestFit="1" customWidth="1"/>
    <col min="13" max="13" width="6" bestFit="1" customWidth="1"/>
    <col min="14" max="14" width="9.28515625" bestFit="1" customWidth="1"/>
    <col min="15" max="15" width="5.28515625" customWidth="1"/>
    <col min="16" max="16" width="21.7109375" customWidth="1"/>
    <col min="17" max="17" width="4.5703125" customWidth="1"/>
    <col min="18" max="18" width="5" customWidth="1"/>
    <col min="19" max="19" width="11.5703125" bestFit="1" customWidth="1"/>
    <col min="20" max="20" width="53" customWidth="1"/>
    <col min="21" max="21" width="45.28515625" bestFit="1" customWidth="1"/>
    <col min="22" max="22" width="5.7109375" bestFit="1" customWidth="1"/>
  </cols>
  <sheetData>
    <row r="1" spans="1:25" ht="60">
      <c r="A1" s="7" t="s">
        <v>0</v>
      </c>
      <c r="B1" s="4" t="s">
        <v>24</v>
      </c>
      <c r="C1" s="4" t="s">
        <v>7</v>
      </c>
      <c r="D1" s="1" t="s">
        <v>4</v>
      </c>
      <c r="E1" s="1" t="s">
        <v>3</v>
      </c>
      <c r="F1" s="1" t="s">
        <v>5</v>
      </c>
      <c r="G1" s="8" t="s">
        <v>9</v>
      </c>
      <c r="H1" s="8" t="s">
        <v>86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15</v>
      </c>
      <c r="N1" s="8" t="s">
        <v>16</v>
      </c>
      <c r="O1" s="8" t="s">
        <v>17</v>
      </c>
      <c r="P1" s="8" t="s">
        <v>10</v>
      </c>
      <c r="Q1" s="8" t="s">
        <v>18</v>
      </c>
      <c r="R1" s="8" t="s">
        <v>19</v>
      </c>
      <c r="S1" s="8" t="s">
        <v>1</v>
      </c>
      <c r="T1" s="8" t="s">
        <v>2</v>
      </c>
      <c r="U1" s="2" t="s">
        <v>8</v>
      </c>
      <c r="V1" s="24" t="s">
        <v>87</v>
      </c>
      <c r="W1" s="9" t="s">
        <v>22</v>
      </c>
      <c r="X1" s="9" t="s">
        <v>89</v>
      </c>
      <c r="Y1" s="25" t="s">
        <v>88</v>
      </c>
    </row>
    <row r="2" spans="1:25">
      <c r="A2" s="6" t="s">
        <v>60</v>
      </c>
      <c r="B2" s="6" t="s">
        <v>61</v>
      </c>
      <c r="C2" s="3"/>
      <c r="D2" s="3">
        <v>1.006</v>
      </c>
      <c r="E2" s="5" t="s">
        <v>29</v>
      </c>
      <c r="F2">
        <v>1</v>
      </c>
      <c r="G2">
        <f t="shared" ref="G2:G3" si="0" xml:space="preserve"> D2*F2</f>
        <v>1.006</v>
      </c>
      <c r="H2">
        <v>0</v>
      </c>
      <c r="I2" t="s">
        <v>21</v>
      </c>
      <c r="J2">
        <f>G2</f>
        <v>1.006</v>
      </c>
      <c r="K2">
        <v>1.006</v>
      </c>
      <c r="L2">
        <f xml:space="preserve"> 1.006*1.1</f>
        <v>1.1066</v>
      </c>
      <c r="N2" t="s">
        <v>20</v>
      </c>
      <c r="P2" s="6" t="s">
        <v>61</v>
      </c>
      <c r="S2" t="s">
        <v>6</v>
      </c>
      <c r="T2" t="s">
        <v>46</v>
      </c>
      <c r="U2" s="21" t="s">
        <v>51</v>
      </c>
      <c r="W2" t="s">
        <v>23</v>
      </c>
    </row>
    <row r="3" spans="1:25">
      <c r="A3" s="10" t="s">
        <v>62</v>
      </c>
      <c r="B3" s="10" t="s">
        <v>63</v>
      </c>
      <c r="C3" s="3"/>
      <c r="D3" s="3">
        <v>1.006</v>
      </c>
      <c r="E3" s="5" t="s">
        <v>29</v>
      </c>
      <c r="F3">
        <v>1</v>
      </c>
      <c r="G3">
        <f t="shared" si="0"/>
        <v>1.006</v>
      </c>
      <c r="H3">
        <v>1</v>
      </c>
      <c r="I3" t="s">
        <v>21</v>
      </c>
      <c r="J3">
        <f>G3</f>
        <v>1.006</v>
      </c>
      <c r="K3">
        <v>1.006</v>
      </c>
      <c r="L3">
        <f xml:space="preserve"> 1.006*1.1</f>
        <v>1.1066</v>
      </c>
      <c r="N3" t="s">
        <v>20</v>
      </c>
      <c r="P3" s="10" t="s">
        <v>63</v>
      </c>
      <c r="S3" t="s">
        <v>6</v>
      </c>
      <c r="T3" t="s">
        <v>46</v>
      </c>
      <c r="U3" s="13" t="s">
        <v>27</v>
      </c>
      <c r="W3" t="s">
        <v>23</v>
      </c>
    </row>
    <row r="4" spans="1: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</sheetData>
  <conditionalFormatting sqref="D1:R1">
    <cfRule type="cellIs" dxfId="11" priority="1" operator="equal">
      <formula>"Elec"</formula>
    </cfRule>
    <cfRule type="cellIs" dxfId="10" priority="2" operator="equal">
      <formula>"Mech"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EB51-55F3-47DF-BE3F-E496408D8CCE}">
  <sheetPr codeName="Sheet14">
    <tabColor rgb="FF00B050"/>
  </sheetPr>
  <dimension ref="A1:Y3"/>
  <sheetViews>
    <sheetView tabSelected="1" zoomScale="87" workbookViewId="0">
      <selection activeCell="C16" sqref="C16"/>
    </sheetView>
  </sheetViews>
  <sheetFormatPr defaultColWidth="9.140625" defaultRowHeight="15"/>
  <cols>
    <col min="1" max="1" width="20.7109375" customWidth="1"/>
    <col min="2" max="2" width="19.85546875" bestFit="1" customWidth="1"/>
    <col min="3" max="3" width="10.42578125" customWidth="1"/>
    <col min="4" max="4" width="6.28515625" bestFit="1" customWidth="1"/>
    <col min="5" max="5" width="6.7109375" bestFit="1" customWidth="1"/>
    <col min="6" max="6" width="9.85546875" customWidth="1"/>
    <col min="7" max="7" width="14.140625" bestFit="1" customWidth="1"/>
    <col min="8" max="8" width="46.140625" customWidth="1"/>
    <col min="9" max="9" width="7.28515625" bestFit="1" customWidth="1"/>
    <col min="10" max="10" width="9.28515625" bestFit="1" customWidth="1"/>
    <col min="11" max="11" width="6.5703125" bestFit="1" customWidth="1"/>
    <col min="12" max="12" width="6.85546875" bestFit="1" customWidth="1"/>
    <col min="13" max="13" width="6" bestFit="1" customWidth="1"/>
    <col min="14" max="14" width="9.28515625" bestFit="1" customWidth="1"/>
    <col min="15" max="15" width="5.28515625" customWidth="1"/>
    <col min="16" max="16" width="21.7109375" customWidth="1"/>
    <col min="17" max="17" width="4.5703125" customWidth="1"/>
    <col min="18" max="18" width="5" customWidth="1"/>
    <col min="19" max="19" width="11.5703125" bestFit="1" customWidth="1"/>
    <col min="20" max="20" width="53" customWidth="1"/>
    <col min="21" max="21" width="45.28515625" bestFit="1" customWidth="1"/>
    <col min="22" max="22" width="5.7109375" bestFit="1" customWidth="1"/>
  </cols>
  <sheetData>
    <row r="1" spans="1:25" ht="60">
      <c r="A1" s="7" t="s">
        <v>0</v>
      </c>
      <c r="B1" s="4" t="s">
        <v>24</v>
      </c>
      <c r="C1" s="4" t="s">
        <v>7</v>
      </c>
      <c r="D1" s="1" t="s">
        <v>4</v>
      </c>
      <c r="E1" s="1" t="s">
        <v>3</v>
      </c>
      <c r="F1" s="1" t="s">
        <v>5</v>
      </c>
      <c r="G1" s="8" t="s">
        <v>9</v>
      </c>
      <c r="H1" s="8" t="s">
        <v>86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15</v>
      </c>
      <c r="N1" s="8" t="s">
        <v>16</v>
      </c>
      <c r="O1" s="8" t="s">
        <v>17</v>
      </c>
      <c r="P1" s="8" t="s">
        <v>10</v>
      </c>
      <c r="Q1" s="8" t="s">
        <v>18</v>
      </c>
      <c r="R1" s="8" t="s">
        <v>19</v>
      </c>
      <c r="S1" s="8" t="s">
        <v>1</v>
      </c>
      <c r="T1" s="8" t="s">
        <v>2</v>
      </c>
      <c r="U1" s="2" t="s">
        <v>8</v>
      </c>
      <c r="V1" s="24" t="s">
        <v>87</v>
      </c>
      <c r="W1" s="9" t="s">
        <v>22</v>
      </c>
      <c r="X1" s="9" t="s">
        <v>89</v>
      </c>
      <c r="Y1" s="25" t="s">
        <v>88</v>
      </c>
    </row>
    <row r="2" spans="1:25">
      <c r="A2" s="6" t="s">
        <v>68</v>
      </c>
      <c r="B2" s="6" t="s">
        <v>70</v>
      </c>
      <c r="C2" s="3"/>
      <c r="D2" s="3">
        <v>1.024</v>
      </c>
      <c r="E2" s="5" t="s">
        <v>29</v>
      </c>
      <c r="F2">
        <v>1</v>
      </c>
      <c r="G2">
        <f t="shared" ref="G2:G3" si="0">D2</f>
        <v>1.024</v>
      </c>
      <c r="H2">
        <v>0</v>
      </c>
      <c r="I2" t="s">
        <v>21</v>
      </c>
      <c r="J2">
        <f>G2</f>
        <v>1.024</v>
      </c>
      <c r="K2">
        <v>1.024</v>
      </c>
      <c r="L2">
        <f xml:space="preserve"> J2*1.1</f>
        <v>1.1264000000000001</v>
      </c>
      <c r="N2" t="s">
        <v>20</v>
      </c>
      <c r="P2" s="6" t="s">
        <v>70</v>
      </c>
      <c r="S2" t="s">
        <v>6</v>
      </c>
      <c r="T2" t="s">
        <v>72</v>
      </c>
      <c r="U2" s="21" t="s">
        <v>74</v>
      </c>
      <c r="W2" s="9" t="s">
        <v>23</v>
      </c>
      <c r="X2" s="9"/>
      <c r="Y2" s="9"/>
    </row>
    <row r="3" spans="1:25">
      <c r="A3" s="10" t="s">
        <v>69</v>
      </c>
      <c r="B3" s="10" t="s">
        <v>71</v>
      </c>
      <c r="C3" s="3"/>
      <c r="D3" s="3">
        <v>1.024</v>
      </c>
      <c r="E3" s="5" t="s">
        <v>29</v>
      </c>
      <c r="F3">
        <v>1</v>
      </c>
      <c r="G3">
        <f t="shared" si="0"/>
        <v>1.024</v>
      </c>
      <c r="H3">
        <v>1</v>
      </c>
      <c r="I3" t="s">
        <v>21</v>
      </c>
      <c r="J3">
        <f>G3</f>
        <v>1.024</v>
      </c>
      <c r="K3">
        <v>1.024</v>
      </c>
      <c r="L3">
        <f xml:space="preserve"> J3*1.1</f>
        <v>1.1264000000000001</v>
      </c>
      <c r="N3" t="s">
        <v>20</v>
      </c>
      <c r="P3" s="10" t="s">
        <v>71</v>
      </c>
      <c r="S3" t="s">
        <v>6</v>
      </c>
      <c r="T3" t="s">
        <v>72</v>
      </c>
      <c r="U3" s="21" t="s">
        <v>73</v>
      </c>
      <c r="W3" t="s">
        <v>23</v>
      </c>
    </row>
  </sheetData>
  <phoneticPr fontId="9" type="noConversion"/>
  <conditionalFormatting sqref="D1:R1">
    <cfRule type="cellIs" dxfId="9" priority="1" operator="equal">
      <formula>"Elec"</formula>
    </cfRule>
    <cfRule type="cellIs" dxfId="8" priority="2" operator="equal">
      <formula>"Mech"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6A79-3FB8-4F6B-86F8-DEABD5FC5AC7}">
  <sheetPr codeName="Sheet15">
    <tabColor rgb="FF00B050"/>
  </sheetPr>
  <dimension ref="A1:Y4"/>
  <sheetViews>
    <sheetView topLeftCell="D1" zoomScale="75" workbookViewId="0">
      <selection activeCell="V1" sqref="V1:Y1"/>
    </sheetView>
  </sheetViews>
  <sheetFormatPr defaultColWidth="9.140625" defaultRowHeight="15"/>
  <cols>
    <col min="1" max="1" width="20.7109375" customWidth="1"/>
    <col min="2" max="2" width="19.85546875" bestFit="1" customWidth="1"/>
    <col min="3" max="3" width="10.42578125" customWidth="1"/>
    <col min="4" max="4" width="6.28515625" bestFit="1" customWidth="1"/>
    <col min="5" max="5" width="6.7109375" bestFit="1" customWidth="1"/>
    <col min="6" max="6" width="9.85546875" customWidth="1"/>
    <col min="7" max="7" width="14.140625" bestFit="1" customWidth="1"/>
    <col min="8" max="8" width="46.140625" customWidth="1"/>
    <col min="9" max="9" width="7.28515625" bestFit="1" customWidth="1"/>
    <col min="10" max="10" width="9.28515625" bestFit="1" customWidth="1"/>
    <col min="11" max="11" width="6.5703125" bestFit="1" customWidth="1"/>
    <col min="12" max="12" width="6.85546875" bestFit="1" customWidth="1"/>
    <col min="13" max="13" width="6" bestFit="1" customWidth="1"/>
    <col min="14" max="14" width="9.28515625" bestFit="1" customWidth="1"/>
    <col min="15" max="15" width="5.28515625" customWidth="1"/>
    <col min="16" max="16" width="21.7109375" customWidth="1"/>
    <col min="17" max="17" width="4.5703125" customWidth="1"/>
    <col min="18" max="18" width="5" customWidth="1"/>
    <col min="19" max="19" width="11.5703125" bestFit="1" customWidth="1"/>
    <col min="20" max="20" width="53" customWidth="1"/>
    <col min="21" max="21" width="45.28515625" bestFit="1" customWidth="1"/>
    <col min="22" max="22" width="5.7109375" bestFit="1" customWidth="1"/>
  </cols>
  <sheetData>
    <row r="1" spans="1:25" ht="60">
      <c r="A1" s="7" t="s">
        <v>0</v>
      </c>
      <c r="B1" s="4" t="s">
        <v>24</v>
      </c>
      <c r="C1" s="4" t="s">
        <v>7</v>
      </c>
      <c r="D1" s="1" t="s">
        <v>4</v>
      </c>
      <c r="E1" s="1" t="s">
        <v>3</v>
      </c>
      <c r="F1" s="1" t="s">
        <v>5</v>
      </c>
      <c r="G1" s="8" t="s">
        <v>9</v>
      </c>
      <c r="H1" s="8" t="s">
        <v>86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15</v>
      </c>
      <c r="N1" s="8" t="s">
        <v>16</v>
      </c>
      <c r="O1" s="8" t="s">
        <v>17</v>
      </c>
      <c r="P1" s="8" t="s">
        <v>10</v>
      </c>
      <c r="Q1" s="8" t="s">
        <v>18</v>
      </c>
      <c r="R1" s="8" t="s">
        <v>19</v>
      </c>
      <c r="S1" s="8" t="s">
        <v>1</v>
      </c>
      <c r="T1" s="8" t="s">
        <v>2</v>
      </c>
      <c r="U1" s="2" t="s">
        <v>8</v>
      </c>
      <c r="V1" s="24" t="s">
        <v>87</v>
      </c>
      <c r="W1" s="9" t="s">
        <v>22</v>
      </c>
      <c r="X1" s="9" t="s">
        <v>89</v>
      </c>
      <c r="Y1" s="25" t="s">
        <v>88</v>
      </c>
    </row>
    <row r="2" spans="1:25">
      <c r="A2" s="6" t="s">
        <v>75</v>
      </c>
      <c r="B2" s="6" t="s">
        <v>77</v>
      </c>
      <c r="C2" s="3"/>
      <c r="D2" s="3">
        <v>1.024</v>
      </c>
      <c r="E2" s="5" t="s">
        <v>29</v>
      </c>
      <c r="F2">
        <v>1</v>
      </c>
      <c r="G2">
        <f t="shared" ref="G2:G3" si="0" xml:space="preserve"> D2*F2</f>
        <v>1.024</v>
      </c>
      <c r="H2">
        <v>0</v>
      </c>
      <c r="I2" t="s">
        <v>21</v>
      </c>
      <c r="J2">
        <f>G2</f>
        <v>1.024</v>
      </c>
      <c r="K2">
        <v>1.024</v>
      </c>
      <c r="L2">
        <f xml:space="preserve"> J2*1.1</f>
        <v>1.1264000000000001</v>
      </c>
      <c r="N2" t="s">
        <v>20</v>
      </c>
      <c r="P2" s="6" t="s">
        <v>77</v>
      </c>
      <c r="S2" t="s">
        <v>6</v>
      </c>
      <c r="T2" t="s">
        <v>72</v>
      </c>
      <c r="U2" s="12" t="s">
        <v>51</v>
      </c>
      <c r="W2" t="s">
        <v>23</v>
      </c>
    </row>
    <row r="3" spans="1:25">
      <c r="A3" s="10" t="s">
        <v>76</v>
      </c>
      <c r="B3" s="10" t="s">
        <v>78</v>
      </c>
      <c r="C3" s="3"/>
      <c r="D3" s="3">
        <v>1.024</v>
      </c>
      <c r="E3" s="5" t="s">
        <v>29</v>
      </c>
      <c r="F3">
        <v>1</v>
      </c>
      <c r="G3">
        <f t="shared" si="0"/>
        <v>1.024</v>
      </c>
      <c r="H3">
        <v>1</v>
      </c>
      <c r="I3" t="s">
        <v>21</v>
      </c>
      <c r="J3">
        <f>G3</f>
        <v>1.024</v>
      </c>
      <c r="K3">
        <v>1.024</v>
      </c>
      <c r="L3">
        <f xml:space="preserve"> J3*1.1</f>
        <v>1.1264000000000001</v>
      </c>
      <c r="N3" t="s">
        <v>20</v>
      </c>
      <c r="P3" s="10" t="s">
        <v>78</v>
      </c>
      <c r="S3" t="s">
        <v>6</v>
      </c>
      <c r="T3" t="s">
        <v>72</v>
      </c>
      <c r="U3" s="21" t="s">
        <v>73</v>
      </c>
      <c r="W3" t="s">
        <v>23</v>
      </c>
    </row>
    <row r="4" spans="1: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</sheetData>
  <conditionalFormatting sqref="D1:R1">
    <cfRule type="cellIs" dxfId="7" priority="1" operator="equal">
      <formula>"Elec"</formula>
    </cfRule>
    <cfRule type="cellIs" dxfId="6" priority="2" operator="equal">
      <formula>"Mech"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77B6-0699-4CDD-847F-12232F4B650E}">
  <sheetPr codeName="Sheet16">
    <tabColor rgb="FF00B050"/>
  </sheetPr>
  <dimension ref="A1:Y5"/>
  <sheetViews>
    <sheetView topLeftCell="F1" workbookViewId="0">
      <selection activeCell="U19" sqref="U19"/>
    </sheetView>
  </sheetViews>
  <sheetFormatPr defaultColWidth="9.140625" defaultRowHeight="15"/>
  <cols>
    <col min="1" max="1" width="26.7109375" customWidth="1"/>
    <col min="2" max="2" width="26.85546875" customWidth="1"/>
    <col min="3" max="3" width="10.42578125" customWidth="1"/>
    <col min="4" max="4" width="6.28515625" bestFit="1" customWidth="1"/>
    <col min="5" max="5" width="6.7109375" bestFit="1" customWidth="1"/>
    <col min="6" max="6" width="9.85546875" customWidth="1"/>
    <col min="7" max="7" width="14.140625" bestFit="1" customWidth="1"/>
    <col min="8" max="8" width="18.42578125" bestFit="1" customWidth="1"/>
    <col min="9" max="9" width="7.28515625" bestFit="1" customWidth="1"/>
    <col min="10" max="10" width="9.28515625" bestFit="1" customWidth="1"/>
    <col min="11" max="11" width="6.5703125" bestFit="1" customWidth="1"/>
    <col min="12" max="12" width="6.85546875" bestFit="1" customWidth="1"/>
    <col min="13" max="13" width="6" bestFit="1" customWidth="1"/>
    <col min="14" max="14" width="9.28515625" bestFit="1" customWidth="1"/>
    <col min="15" max="15" width="5.28515625" customWidth="1"/>
    <col min="16" max="16" width="29.140625" customWidth="1"/>
    <col min="17" max="17" width="4.5703125" customWidth="1"/>
    <col min="18" max="18" width="5" customWidth="1"/>
    <col min="19" max="19" width="11.5703125" bestFit="1" customWidth="1"/>
    <col min="20" max="20" width="7.28515625" bestFit="1" customWidth="1"/>
    <col min="21" max="21" width="45.28515625" bestFit="1" customWidth="1"/>
    <col min="22" max="22" width="5.7109375" bestFit="1" customWidth="1"/>
  </cols>
  <sheetData>
    <row r="1" spans="1:25" ht="60">
      <c r="A1" s="7" t="s">
        <v>0</v>
      </c>
      <c r="B1" s="4" t="s">
        <v>24</v>
      </c>
      <c r="C1" s="4" t="s">
        <v>7</v>
      </c>
      <c r="D1" s="1" t="s">
        <v>4</v>
      </c>
      <c r="E1" s="1" t="s">
        <v>3</v>
      </c>
      <c r="F1" s="1" t="s">
        <v>5</v>
      </c>
      <c r="G1" s="8" t="s">
        <v>9</v>
      </c>
      <c r="H1" s="8" t="s">
        <v>86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15</v>
      </c>
      <c r="N1" s="8" t="s">
        <v>16</v>
      </c>
      <c r="O1" s="8" t="s">
        <v>17</v>
      </c>
      <c r="P1" s="8" t="s">
        <v>10</v>
      </c>
      <c r="Q1" s="8" t="s">
        <v>18</v>
      </c>
      <c r="R1" s="8" t="s">
        <v>19</v>
      </c>
      <c r="S1" s="8" t="s">
        <v>1</v>
      </c>
      <c r="T1" s="8" t="s">
        <v>2</v>
      </c>
      <c r="U1" s="2" t="s">
        <v>8</v>
      </c>
      <c r="V1" s="24" t="s">
        <v>87</v>
      </c>
      <c r="W1" s="9" t="s">
        <v>22</v>
      </c>
      <c r="X1" s="9" t="s">
        <v>89</v>
      </c>
      <c r="Y1" s="25" t="s">
        <v>88</v>
      </c>
    </row>
    <row r="2" spans="1:25">
      <c r="A2" s="6" t="s">
        <v>36</v>
      </c>
      <c r="B2" s="6" t="s">
        <v>33</v>
      </c>
      <c r="C2" s="3"/>
      <c r="D2" s="3">
        <v>1</v>
      </c>
      <c r="E2" s="5" t="s">
        <v>29</v>
      </c>
      <c r="F2">
        <v>1</v>
      </c>
      <c r="G2">
        <f t="shared" ref="G2:G4" si="0" xml:space="preserve"> D2*F2</f>
        <v>1</v>
      </c>
      <c r="H2">
        <v>0</v>
      </c>
      <c r="I2" t="s">
        <v>21</v>
      </c>
      <c r="J2">
        <f>G2</f>
        <v>1</v>
      </c>
      <c r="K2">
        <v>1</v>
      </c>
      <c r="L2">
        <v>1</v>
      </c>
      <c r="N2" t="s">
        <v>28</v>
      </c>
      <c r="P2" s="6" t="s">
        <v>33</v>
      </c>
      <c r="S2" t="s">
        <v>6</v>
      </c>
      <c r="T2" t="s">
        <v>6</v>
      </c>
      <c r="U2" s="16" t="s">
        <v>26</v>
      </c>
      <c r="W2" t="s">
        <v>23</v>
      </c>
    </row>
    <row r="3" spans="1:25">
      <c r="A3" s="18" t="s">
        <v>37</v>
      </c>
      <c r="B3" s="15" t="s">
        <v>34</v>
      </c>
      <c r="C3" s="14"/>
      <c r="D3" s="3">
        <v>1</v>
      </c>
      <c r="E3" s="5" t="s">
        <v>29</v>
      </c>
      <c r="F3">
        <v>1</v>
      </c>
      <c r="G3">
        <f t="shared" si="0"/>
        <v>1</v>
      </c>
      <c r="H3">
        <v>1</v>
      </c>
      <c r="I3" t="s">
        <v>21</v>
      </c>
      <c r="J3">
        <f>G3</f>
        <v>1</v>
      </c>
      <c r="K3">
        <v>1</v>
      </c>
      <c r="L3">
        <v>1</v>
      </c>
      <c r="N3" t="s">
        <v>28</v>
      </c>
      <c r="P3" s="15" t="s">
        <v>34</v>
      </c>
      <c r="S3" t="s">
        <v>6</v>
      </c>
      <c r="T3" t="s">
        <v>32</v>
      </c>
      <c r="U3" s="17" t="s">
        <v>30</v>
      </c>
      <c r="W3" t="s">
        <v>23</v>
      </c>
    </row>
    <row r="4" spans="1:25" ht="15.75" thickBot="1">
      <c r="A4" s="19" t="s">
        <v>38</v>
      </c>
      <c r="B4" s="3" t="s">
        <v>35</v>
      </c>
      <c r="C4" s="3"/>
      <c r="D4" s="3">
        <v>1</v>
      </c>
      <c r="E4" s="5" t="s">
        <v>29</v>
      </c>
      <c r="F4">
        <v>1</v>
      </c>
      <c r="G4">
        <f t="shared" si="0"/>
        <v>1</v>
      </c>
      <c r="H4">
        <v>2</v>
      </c>
      <c r="I4" t="s">
        <v>21</v>
      </c>
      <c r="J4">
        <f>G4</f>
        <v>1</v>
      </c>
      <c r="K4">
        <v>1</v>
      </c>
      <c r="L4">
        <v>1</v>
      </c>
      <c r="N4" t="s">
        <v>28</v>
      </c>
      <c r="P4" s="3" t="s">
        <v>35</v>
      </c>
      <c r="S4" t="s">
        <v>6</v>
      </c>
      <c r="T4" s="13" t="s">
        <v>31</v>
      </c>
      <c r="U4" s="17" t="s">
        <v>40</v>
      </c>
      <c r="W4" t="s">
        <v>23</v>
      </c>
    </row>
    <row r="5" spans="1: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</sheetData>
  <conditionalFormatting sqref="D1:R1">
    <cfRule type="cellIs" dxfId="5" priority="1" operator="equal">
      <formula>"Elec"</formula>
    </cfRule>
    <cfRule type="cellIs" dxfId="4" priority="2" operator="equal">
      <formula>"Mech"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5FC28-8962-47F3-9056-E690EC6BC010}">
  <sheetPr codeName="Sheet17">
    <tabColor rgb="FF00B050"/>
  </sheetPr>
  <dimension ref="A1:Y3"/>
  <sheetViews>
    <sheetView topLeftCell="G1" workbookViewId="0">
      <selection activeCell="W2" sqref="W2:W3"/>
    </sheetView>
  </sheetViews>
  <sheetFormatPr defaultRowHeight="15"/>
  <cols>
    <col min="1" max="1" width="16.7109375" bestFit="1" customWidth="1"/>
    <col min="2" max="2" width="20.7109375" bestFit="1" customWidth="1"/>
    <col min="3" max="3" width="24" bestFit="1" customWidth="1"/>
    <col min="4" max="4" width="6.42578125" bestFit="1" customWidth="1"/>
    <col min="5" max="5" width="7.140625" bestFit="1" customWidth="1"/>
    <col min="6" max="6" width="10.42578125" bestFit="1" customWidth="1"/>
    <col min="7" max="7" width="11.28515625" bestFit="1" customWidth="1"/>
    <col min="8" max="8" width="14" bestFit="1" customWidth="1"/>
    <col min="9" max="9" width="7.5703125" bestFit="1" customWidth="1"/>
    <col min="10" max="10" width="9.85546875" bestFit="1" customWidth="1"/>
    <col min="11" max="11" width="6.85546875" bestFit="1" customWidth="1"/>
    <col min="12" max="12" width="7.140625" bestFit="1" customWidth="1"/>
    <col min="13" max="13" width="6.140625" bestFit="1" customWidth="1"/>
    <col min="15" max="15" width="11.140625" bestFit="1" customWidth="1"/>
    <col min="16" max="16" width="18" bestFit="1" customWidth="1"/>
    <col min="17" max="17" width="9.28515625" bestFit="1" customWidth="1"/>
    <col min="18" max="18" width="9.85546875" bestFit="1" customWidth="1"/>
    <col min="19" max="19" width="11.42578125" bestFit="1" customWidth="1"/>
    <col min="20" max="20" width="37.5703125" bestFit="1" customWidth="1"/>
    <col min="21" max="21" width="59.5703125" bestFit="1" customWidth="1"/>
    <col min="22" max="22" width="5.85546875" bestFit="1" customWidth="1"/>
  </cols>
  <sheetData>
    <row r="1" spans="1:25" ht="60">
      <c r="A1" s="7" t="s">
        <v>0</v>
      </c>
      <c r="B1" s="4" t="s">
        <v>24</v>
      </c>
      <c r="C1" s="4" t="s">
        <v>7</v>
      </c>
      <c r="D1" s="1" t="s">
        <v>4</v>
      </c>
      <c r="E1" s="1" t="s">
        <v>3</v>
      </c>
      <c r="F1" s="1" t="s">
        <v>5</v>
      </c>
      <c r="G1" s="8" t="s">
        <v>9</v>
      </c>
      <c r="H1" s="8" t="s">
        <v>86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15</v>
      </c>
      <c r="N1" s="8" t="s">
        <v>16</v>
      </c>
      <c r="O1" s="8" t="s">
        <v>17</v>
      </c>
      <c r="P1" s="8" t="s">
        <v>10</v>
      </c>
      <c r="Q1" s="8" t="s">
        <v>18</v>
      </c>
      <c r="R1" s="8" t="s">
        <v>19</v>
      </c>
      <c r="S1" s="8" t="s">
        <v>1</v>
      </c>
      <c r="T1" s="8" t="s">
        <v>2</v>
      </c>
      <c r="U1" s="2" t="s">
        <v>8</v>
      </c>
      <c r="V1" s="24" t="s">
        <v>87</v>
      </c>
      <c r="W1" s="9" t="s">
        <v>22</v>
      </c>
      <c r="X1" s="9" t="s">
        <v>89</v>
      </c>
      <c r="Y1" s="25" t="s">
        <v>88</v>
      </c>
    </row>
    <row r="2" spans="1:25">
      <c r="A2" s="6" t="s">
        <v>84</v>
      </c>
      <c r="B2" s="6" t="s">
        <v>79</v>
      </c>
      <c r="C2" s="3"/>
      <c r="D2" s="3">
        <v>1.05</v>
      </c>
      <c r="E2" s="5" t="s">
        <v>29</v>
      </c>
      <c r="F2">
        <v>1</v>
      </c>
      <c r="G2">
        <f t="shared" ref="G2:G3" si="0" xml:space="preserve"> D2*F2</f>
        <v>1.05</v>
      </c>
      <c r="H2">
        <v>0</v>
      </c>
      <c r="I2" t="s">
        <v>21</v>
      </c>
      <c r="J2">
        <f>G2</f>
        <v>1.05</v>
      </c>
      <c r="K2">
        <f>$J2*0.8</f>
        <v>0.84000000000000008</v>
      </c>
      <c r="L2">
        <f>$J2*1.2</f>
        <v>1.26</v>
      </c>
      <c r="N2" t="s">
        <v>39</v>
      </c>
      <c r="P2" s="6" t="s">
        <v>79</v>
      </c>
      <c r="S2" t="s">
        <v>6</v>
      </c>
      <c r="T2" t="s">
        <v>82</v>
      </c>
      <c r="U2" s="16" t="s">
        <v>80</v>
      </c>
      <c r="W2" t="s">
        <v>23</v>
      </c>
    </row>
    <row r="3" spans="1:25">
      <c r="A3" s="18" t="s">
        <v>85</v>
      </c>
      <c r="B3" s="15" t="s">
        <v>83</v>
      </c>
      <c r="C3" s="14"/>
      <c r="D3" s="3">
        <v>1.05</v>
      </c>
      <c r="E3" s="5" t="s">
        <v>29</v>
      </c>
      <c r="F3">
        <v>1</v>
      </c>
      <c r="G3">
        <f t="shared" si="0"/>
        <v>1.05</v>
      </c>
      <c r="H3">
        <v>1</v>
      </c>
      <c r="I3" t="s">
        <v>21</v>
      </c>
      <c r="J3">
        <f>G3</f>
        <v>1.05</v>
      </c>
      <c r="K3">
        <f>$J3*0.8</f>
        <v>0.84000000000000008</v>
      </c>
      <c r="L3">
        <f>$J3*1.2</f>
        <v>1.26</v>
      </c>
      <c r="N3" t="s">
        <v>39</v>
      </c>
      <c r="P3" s="15" t="s">
        <v>83</v>
      </c>
      <c r="S3" t="s">
        <v>6</v>
      </c>
      <c r="T3" t="s">
        <v>82</v>
      </c>
      <c r="U3" s="17" t="s">
        <v>81</v>
      </c>
      <c r="W3" t="s">
        <v>23</v>
      </c>
    </row>
  </sheetData>
  <conditionalFormatting sqref="D1:R1">
    <cfRule type="cellIs" dxfId="3" priority="1" operator="equal">
      <formula>"Elec"</formula>
    </cfRule>
    <cfRule type="cellIs" dxfId="2" priority="2" operator="equal">
      <formula>"Mech"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FB7AE-3AC5-47F6-92D3-33D0C28067B3}">
  <sheetPr codeName="Sheet18">
    <tabColor rgb="FF00B050"/>
  </sheetPr>
  <dimension ref="A1:Y5"/>
  <sheetViews>
    <sheetView topLeftCell="E1" zoomScale="89" workbookViewId="0">
      <selection activeCell="W2" sqref="W2:W4"/>
    </sheetView>
  </sheetViews>
  <sheetFormatPr defaultColWidth="9.140625" defaultRowHeight="15"/>
  <cols>
    <col min="1" max="1" width="26.7109375" customWidth="1"/>
    <col min="2" max="2" width="32.7109375" customWidth="1"/>
    <col min="3" max="3" width="10.42578125" customWidth="1"/>
    <col min="4" max="4" width="6.28515625" bestFit="1" customWidth="1"/>
    <col min="5" max="5" width="6.7109375" bestFit="1" customWidth="1"/>
    <col min="6" max="6" width="9.85546875" customWidth="1"/>
    <col min="7" max="7" width="14.140625" bestFit="1" customWidth="1"/>
    <col min="8" max="8" width="30.140625" customWidth="1"/>
    <col min="9" max="9" width="7.28515625" bestFit="1" customWidth="1"/>
    <col min="10" max="10" width="9.28515625" bestFit="1" customWidth="1"/>
    <col min="11" max="11" width="6.5703125" bestFit="1" customWidth="1"/>
    <col min="12" max="12" width="6.85546875" bestFit="1" customWidth="1"/>
    <col min="13" max="13" width="6" bestFit="1" customWidth="1"/>
    <col min="14" max="14" width="9.28515625" bestFit="1" customWidth="1"/>
    <col min="15" max="15" width="5.28515625" customWidth="1"/>
    <col min="16" max="16" width="33" customWidth="1"/>
    <col min="17" max="17" width="4.5703125" customWidth="1"/>
    <col min="18" max="18" width="5" customWidth="1"/>
    <col min="19" max="19" width="11.5703125" bestFit="1" customWidth="1"/>
    <col min="20" max="20" width="9.28515625" customWidth="1"/>
    <col min="21" max="21" width="45.28515625" bestFit="1" customWidth="1"/>
    <col min="22" max="22" width="5.7109375" bestFit="1" customWidth="1"/>
  </cols>
  <sheetData>
    <row r="1" spans="1:25" ht="60">
      <c r="A1" s="7" t="s">
        <v>0</v>
      </c>
      <c r="B1" s="4" t="s">
        <v>24</v>
      </c>
      <c r="C1" s="4" t="s">
        <v>7</v>
      </c>
      <c r="D1" s="1" t="s">
        <v>4</v>
      </c>
      <c r="E1" s="1" t="s">
        <v>3</v>
      </c>
      <c r="F1" s="1" t="s">
        <v>5</v>
      </c>
      <c r="G1" s="8" t="s">
        <v>9</v>
      </c>
      <c r="H1" s="8" t="s">
        <v>86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15</v>
      </c>
      <c r="N1" s="8" t="s">
        <v>16</v>
      </c>
      <c r="O1" s="8" t="s">
        <v>17</v>
      </c>
      <c r="P1" s="8" t="s">
        <v>10</v>
      </c>
      <c r="Q1" s="8" t="s">
        <v>18</v>
      </c>
      <c r="R1" s="8" t="s">
        <v>19</v>
      </c>
      <c r="S1" s="8" t="s">
        <v>1</v>
      </c>
      <c r="T1" s="8" t="s">
        <v>2</v>
      </c>
      <c r="U1" s="2" t="s">
        <v>8</v>
      </c>
      <c r="V1" s="24" t="s">
        <v>87</v>
      </c>
      <c r="W1" s="9" t="s">
        <v>22</v>
      </c>
      <c r="X1" s="9" t="s">
        <v>89</v>
      </c>
      <c r="Y1" s="25" t="s">
        <v>88</v>
      </c>
    </row>
    <row r="2" spans="1:25">
      <c r="A2" s="20" t="s">
        <v>53</v>
      </c>
      <c r="B2" s="20" t="s">
        <v>55</v>
      </c>
      <c r="C2" s="3"/>
      <c r="D2" s="3">
        <v>1</v>
      </c>
      <c r="E2" s="5" t="s">
        <v>29</v>
      </c>
      <c r="F2">
        <v>1</v>
      </c>
      <c r="G2">
        <f t="shared" ref="G2:G4" si="0" xml:space="preserve"> D2*F2</f>
        <v>1</v>
      </c>
      <c r="H2">
        <v>0</v>
      </c>
      <c r="I2" t="s">
        <v>21</v>
      </c>
      <c r="J2">
        <f>G2</f>
        <v>1</v>
      </c>
      <c r="K2">
        <v>1</v>
      </c>
      <c r="L2">
        <v>1</v>
      </c>
      <c r="N2" t="s">
        <v>28</v>
      </c>
      <c r="P2" s="20" t="s">
        <v>55</v>
      </c>
      <c r="S2" t="s">
        <v>6</v>
      </c>
      <c r="U2" s="16" t="s">
        <v>26</v>
      </c>
      <c r="W2" t="s">
        <v>23</v>
      </c>
    </row>
    <row r="3" spans="1:25" ht="30">
      <c r="A3" s="18" t="s">
        <v>57</v>
      </c>
      <c r="B3" s="18" t="s">
        <v>58</v>
      </c>
      <c r="C3" s="14"/>
      <c r="D3" s="3">
        <v>1</v>
      </c>
      <c r="E3" s="5" t="s">
        <v>29</v>
      </c>
      <c r="F3">
        <v>1</v>
      </c>
      <c r="G3">
        <f t="shared" si="0"/>
        <v>1</v>
      </c>
      <c r="H3">
        <v>1</v>
      </c>
      <c r="I3" t="s">
        <v>21</v>
      </c>
      <c r="J3">
        <f>G3</f>
        <v>1</v>
      </c>
      <c r="K3">
        <v>1</v>
      </c>
      <c r="L3">
        <v>1</v>
      </c>
      <c r="N3" t="s">
        <v>28</v>
      </c>
      <c r="P3" s="18" t="s">
        <v>58</v>
      </c>
      <c r="S3" t="s">
        <v>6</v>
      </c>
      <c r="U3" s="17" t="s">
        <v>30</v>
      </c>
      <c r="W3" t="s">
        <v>23</v>
      </c>
    </row>
    <row r="4" spans="1:25" ht="15.75" thickBot="1">
      <c r="A4" s="23" t="s">
        <v>54</v>
      </c>
      <c r="B4" s="23" t="s">
        <v>56</v>
      </c>
      <c r="C4" s="3"/>
      <c r="D4" s="3">
        <v>1</v>
      </c>
      <c r="E4" s="5" t="s">
        <v>29</v>
      </c>
      <c r="F4">
        <v>1</v>
      </c>
      <c r="G4">
        <f t="shared" si="0"/>
        <v>1</v>
      </c>
      <c r="H4">
        <v>2</v>
      </c>
      <c r="I4" t="s">
        <v>21</v>
      </c>
      <c r="J4">
        <f>G4</f>
        <v>1</v>
      </c>
      <c r="K4">
        <v>1</v>
      </c>
      <c r="L4">
        <v>1</v>
      </c>
      <c r="N4" t="s">
        <v>28</v>
      </c>
      <c r="P4" s="23" t="s">
        <v>56</v>
      </c>
      <c r="S4" t="s">
        <v>6</v>
      </c>
      <c r="T4" s="13"/>
      <c r="U4" s="21" t="s">
        <v>52</v>
      </c>
      <c r="W4" t="s">
        <v>23</v>
      </c>
    </row>
    <row r="5" spans="1: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</sheetData>
  <conditionalFormatting sqref="D1:R1">
    <cfRule type="cellIs" dxfId="1" priority="1" operator="equal">
      <formula>"Elec"</formula>
    </cfRule>
    <cfRule type="cellIs" dxfId="0" priority="2" operator="equal">
      <formula>"Mech"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97829a-e10a-4ecc-8cda-2f5d72ccb1b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3664E055D3024392F88086CF1FCE78" ma:contentTypeVersion="18" ma:contentTypeDescription="Crée un document." ma:contentTypeScope="" ma:versionID="6210ba4888d7ca466d6e1a77387b1376">
  <xsd:schema xmlns:xsd="http://www.w3.org/2001/XMLSchema" xmlns:xs="http://www.w3.org/2001/XMLSchema" xmlns:p="http://schemas.microsoft.com/office/2006/metadata/properties" xmlns:ns3="0697829a-e10a-4ecc-8cda-2f5d72ccb1b7" xmlns:ns4="13ef337f-c9b9-4264-a107-3231cbcfd79b" targetNamespace="http://schemas.microsoft.com/office/2006/metadata/properties" ma:root="true" ma:fieldsID="ce21685d69c12746a606a50df0c88be0" ns3:_="" ns4:_="">
    <xsd:import namespace="0697829a-e10a-4ecc-8cda-2f5d72ccb1b7"/>
    <xsd:import namespace="13ef337f-c9b9-4264-a107-3231cbcfd7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97829a-e10a-4ecc-8cda-2f5d72ccb1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ef337f-c9b9-4264-a107-3231cbcfd7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Partage du hachage d’indicateur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534742-DDFF-404D-89F8-92EDE7099B04}">
  <ds:schemaRefs>
    <ds:schemaRef ds:uri="http://schemas.microsoft.com/office/2006/metadata/properties"/>
    <ds:schemaRef ds:uri="0697829a-e10a-4ecc-8cda-2f5d72ccb1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13ef337f-c9b9-4264-a107-3231cbcfd79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33114CE-CAEC-4CE8-82D8-6FC058EC24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97829a-e10a-4ecc-8cda-2f5d72ccb1b7"/>
    <ds:schemaRef ds:uri="13ef337f-c9b9-4264-a107-3231cbcfd7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BE42DD-DB08-415E-ADAA-F88692392C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moulded_ABS</vt:lpstr>
      <vt:lpstr>moulded_polycarbonate</vt:lpstr>
      <vt:lpstr>moulded_polypropylene</vt:lpstr>
      <vt:lpstr>moulded_polyethylene</vt:lpstr>
      <vt:lpstr>plastic_bag_HDPE</vt:lpstr>
      <vt:lpstr>plastic_bag_LDPE</vt:lpstr>
      <vt:lpstr>steel_spring</vt:lpstr>
      <vt:lpstr>casted_alu</vt:lpstr>
      <vt:lpstr>steel_sheet_parts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Dethienne</dc:creator>
  <cp:lastModifiedBy>Robin Dethienne</cp:lastModifiedBy>
  <dcterms:created xsi:type="dcterms:W3CDTF">2015-06-05T18:17:20Z</dcterms:created>
  <dcterms:modified xsi:type="dcterms:W3CDTF">2025-08-20T08:19:55Z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0x010100103664E055D3024392F88086CF1FCE78</vt:lpwstr>
  </property>
</Properties>
</file>