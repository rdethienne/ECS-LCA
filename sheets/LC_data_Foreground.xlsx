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robin_dethienne_uclouvain_be/Documents/DOC/teaching/TFE_ICT/"/>
    </mc:Choice>
  </mc:AlternateContent>
  <xr:revisionPtr revIDLastSave="48" documentId="13_ncr:1_{6F7B1AE3-69FD-4D17-B91A-6A669007DCC1}" xr6:coauthVersionLast="47" xr6:coauthVersionMax="47" xr10:uidLastSave="{7DC87718-9BDE-4624-9818-91F9AC77FD8B}"/>
  <bookViews>
    <workbookView xWindow="-25320" yWindow="-120" windowWidth="25440" windowHeight="15270" xr2:uid="{00000000-000D-0000-FFFF-FFFF00000000}"/>
  </bookViews>
  <sheets>
    <sheet name="foreground_ICT_2024_BE" sheetId="6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63" l="1"/>
  <c r="R4" i="63"/>
  <c r="K5" i="63" l="1"/>
  <c r="Q5" i="63" s="1"/>
  <c r="K4" i="63"/>
  <c r="Q4" i="63" s="1"/>
  <c r="K3" i="63"/>
  <c r="Q3" i="63" s="1"/>
  <c r="W5" i="63"/>
  <c r="W4" i="63"/>
  <c r="W3" i="63"/>
  <c r="W2" i="63"/>
  <c r="K2" i="63"/>
  <c r="Q2" i="63" s="1"/>
</calcChain>
</file>

<file path=xl/sharedStrings.xml><?xml version="1.0" encoding="utf-8"?>
<sst xmlns="http://schemas.openxmlformats.org/spreadsheetml/2006/main" count="76" uniqueCount="55">
  <si>
    <t>datasheet</t>
  </si>
  <si>
    <t>Note</t>
  </si>
  <si>
    <t>Production</t>
  </si>
  <si>
    <t>Qty</t>
  </si>
  <si>
    <t>Reference in inventory</t>
  </si>
  <si>
    <t>EI activity name</t>
  </si>
  <si>
    <t>Transport</t>
  </si>
  <si>
    <t>unit</t>
  </si>
  <si>
    <t>UCLouvain custom process</t>
  </si>
  <si>
    <t>Comment</t>
  </si>
  <si>
    <t>Label</t>
  </si>
  <si>
    <t>Foreground name</t>
  </si>
  <si>
    <t>Type</t>
  </si>
  <si>
    <t>Default</t>
  </si>
  <si>
    <t>Min</t>
  </si>
  <si>
    <t>Max</t>
  </si>
  <si>
    <t>Std</t>
  </si>
  <si>
    <t>Distrib</t>
  </si>
  <si>
    <t>Description</t>
  </si>
  <si>
    <t>Float</t>
  </si>
  <si>
    <t>loc</t>
  </si>
  <si>
    <t>GLO</t>
  </si>
  <si>
    <t>LCA algebraic name</t>
  </si>
  <si>
    <t>Custom process name</t>
  </si>
  <si>
    <t>FIXED</t>
  </si>
  <si>
    <t>kWh</t>
  </si>
  <si>
    <t>Unit (for Qty)</t>
  </si>
  <si>
    <t>tkm</t>
  </si>
  <si>
    <t>Unit (Qty EI)</t>
  </si>
  <si>
    <t>Device_1</t>
  </si>
  <si>
    <t>parameter number</t>
  </si>
  <si>
    <t>Comment2</t>
  </si>
  <si>
    <t>ICT tier</t>
  </si>
  <si>
    <t>LC phase</t>
  </si>
  <si>
    <t>label 2</t>
  </si>
  <si>
    <t>label 3</t>
  </si>
  <si>
    <t>Use</t>
  </si>
  <si>
    <t>EoL</t>
  </si>
  <si>
    <t>UE</t>
  </si>
  <si>
    <t>Device 1 Prod</t>
  </si>
  <si>
    <t>Device 1 Transport</t>
  </si>
  <si>
    <t>Device 1 Use</t>
  </si>
  <si>
    <t>Device 1 EoL</t>
  </si>
  <si>
    <t>Device_1_EoL</t>
  </si>
  <si>
    <t>Device_1_Prod</t>
  </si>
  <si>
    <t>Device_1_T</t>
  </si>
  <si>
    <t>Modified process name</t>
  </si>
  <si>
    <t>market group for electricity, medium voltage</t>
  </si>
  <si>
    <t>Total Qty (Qty*Amount)</t>
  </si>
  <si>
    <t>Amount (conversion)</t>
  </si>
  <si>
    <t>FG_device_1_prod</t>
  </si>
  <si>
    <t>FG_device_1_T</t>
  </si>
  <si>
    <t>FG_device_1_EoL</t>
  </si>
  <si>
    <t>FG_device_1_Use</t>
  </si>
  <si>
    <t>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</si>
</sst>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0" fillId="0" borderId="5" xfId="0" applyBorder="1"/>
    <xf numFmtId="0" fontId="0" fillId="0" borderId="11" xfId="0" applyBorder="1"/>
    <xf numFmtId="0" fontId="0" fillId="0" borderId="10" xfId="0" applyBorder="1"/>
    <xf numFmtId="0" fontId="0" fillId="0" borderId="9" xfId="0" applyBorder="1"/>
    <xf numFmtId="0" fontId="2" fillId="3" borderId="1" xfId="0" applyFont="1" applyFill="1" applyBorder="1"/>
    <xf numFmtId="0" fontId="2" fillId="3" borderId="8" xfId="0" applyFont="1" applyFill="1" applyBorder="1"/>
    <xf numFmtId="0" fontId="2" fillId="3" borderId="13" xfId="0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2" fillId="2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12" xfId="0" applyFont="1" applyFill="1" applyBorder="1"/>
    <xf numFmtId="0" fontId="0" fillId="0" borderId="0" xfId="0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4" borderId="4" xfId="0" applyFont="1" applyFill="1" applyBorder="1" applyAlignment="1">
      <alignment wrapText="1"/>
    </xf>
    <xf numFmtId="0" fontId="2" fillId="4" borderId="15" xfId="0" applyFont="1" applyFill="1" applyBorder="1" applyAlignment="1">
      <alignment horizontal="center" wrapText="1"/>
    </xf>
    <xf numFmtId="0" fontId="0" fillId="0" borderId="15" xfId="0" applyBorder="1"/>
    <xf numFmtId="0" fontId="2" fillId="5" borderId="14" xfId="0" applyFont="1" applyFill="1" applyBorder="1"/>
    <xf numFmtId="0" fontId="0" fillId="0" borderId="11" xfId="0" applyBorder="1" applyAlignment="1">
      <alignment horizontal="center"/>
    </xf>
    <xf numFmtId="0" fontId="0" fillId="0" borderId="7" xfId="0" applyBorder="1"/>
    <xf numFmtId="0" fontId="0" fillId="0" borderId="15" xfId="0" quotePrefix="1" applyBorder="1" applyAlignment="1">
      <alignment horizontal="center"/>
    </xf>
  </cellXfs>
  <cellStyles count="1">
    <cellStyle name="Normal" xfId="0" builtinId="0"/>
  </cellStyles>
  <dxfs count="33"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theme="4" tint="0.39997558519241921"/>
        </top>
        <bottom/>
        <vertical/>
        <horizont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170FA-4D43-4BAA-8FEA-E852F7F79484}" name="Table348142" displayName="Table348142" ref="A1:AC5" totalsRowShown="0" headerRowDxfId="32" dataDxfId="31">
  <autoFilter ref="A1:AC5" xr:uid="{E2A170FA-4D43-4BAA-8FEA-E852F7F79484}"/>
  <sortState xmlns:xlrd2="http://schemas.microsoft.com/office/spreadsheetml/2017/richdata2" ref="A2:AC2">
    <sortCondition ref="A1:A2"/>
  </sortState>
  <tableColumns count="29">
    <tableColumn id="1" xr3:uid="{02C93257-D436-4EBE-8C88-90AE521E3F6F}" name="ICT tier" dataDxfId="30"/>
    <tableColumn id="19" xr3:uid="{1B1F15F2-89F3-40D0-996B-ABDA1608AB0E}" name="LC phase" dataDxfId="29"/>
    <tableColumn id="3" xr3:uid="{1D42E15F-7E04-40AF-A094-1FE929E00272}" name="label 2" dataDxfId="28"/>
    <tableColumn id="13" xr3:uid="{6B11382D-7A68-4A03-A398-F7EE0703574B}" name="label 3" dataDxfId="27"/>
    <tableColumn id="8" xr3:uid="{3BF81227-7C15-4DC8-A24E-81B9BE5F0DA5}" name="Foreground name" dataDxfId="26"/>
    <tableColumn id="2" xr3:uid="{F3487FE7-9F2C-4CBB-8D0B-04BFDD2F3998}" name="LCA algebraic name" dataDxfId="25"/>
    <tableColumn id="50" xr3:uid="{F2610713-607A-4B72-A671-2A8CD2BE92C7}" name="Reference in inventory" dataDxfId="24"/>
    <tableColumn id="4" xr3:uid="{A821D884-B209-4A66-94E8-66B32F35D121}" name="Qty" dataDxfId="23"/>
    <tableColumn id="5" xr3:uid="{416DA559-8F29-402E-9019-24BB2AA6CE80}" name="Unit (for Qty)" dataDxfId="22"/>
    <tableColumn id="37" xr3:uid="{D122B06C-D0FA-4E94-8C60-9B7EB7CAB344}" name="Amount (conversion)" dataDxfId="21"/>
    <tableColumn id="38" xr3:uid="{59E71A23-42FE-4F7C-A2C7-1887258C92C2}" name="Total Qty (Qty*Amount)" dataDxfId="20">
      <calculatedColumnFormula xml:space="preserve"> H2*J2</calculatedColumnFormula>
    </tableColumn>
    <tableColumn id="9" xr3:uid="{1046AA73-CB29-4D31-AD79-51B1FD5D8079}" name="Unit (Qty EI)" dataDxfId="19"/>
    <tableColumn id="18" xr3:uid="{A0D65E6B-0544-42B7-8552-94C11A604019}" name="datasheet" dataDxfId="18"/>
    <tableColumn id="7" xr3:uid="{401DD2A9-6624-428C-AB1A-4BD232695F3F}" name="Note" dataDxfId="17"/>
    <tableColumn id="14" xr3:uid="{F85C153C-60A6-4E92-A390-E833F7A51277}" name="parameter number" dataDxfId="16"/>
    <tableColumn id="10" xr3:uid="{AC54D4B2-9C85-4B90-B99F-7E3EE20C323F}" name="Type" dataDxfId="15"/>
    <tableColumn id="11" xr3:uid="{5EF11498-722E-498E-A285-92FACAA87478}" name="Default" dataDxfId="14">
      <calculatedColumnFormula xml:space="preserve"> K2</calculatedColumnFormula>
    </tableColumn>
    <tableColumn id="31" xr3:uid="{5C6AEEC6-D486-43C4-AB30-75F1A9E31580}" name="Min" dataDxfId="13">
      <calculatedColumnFormula>Q2*0.8</calculatedColumnFormula>
    </tableColumn>
    <tableColumn id="33" xr3:uid="{D5F6663A-8B6F-4B06-AC09-40EC130E34D9}" name="Max" dataDxfId="12">
      <calculatedColumnFormula>Q2*1.2</calculatedColumnFormula>
    </tableColumn>
    <tableColumn id="35" xr3:uid="{1DF00649-23D4-4AD0-864F-77D04639DE93}" name="Std" dataDxfId="11"/>
    <tableColumn id="39" xr3:uid="{E86ED22D-7E22-4913-BB36-9B98406F92E8}" name="Distrib" dataDxfId="10"/>
    <tableColumn id="40" xr3:uid="{06D26F36-78DC-474B-90B1-1B8694DB0410}" name="Description" dataDxfId="9"/>
    <tableColumn id="46" xr3:uid="{7C63B76A-59C9-43ED-BC40-8C8268AE91D1}" name="Label" dataDxfId="8">
      <calculatedColumnFormula>SUBSTITUTE(F2, "_", " ")</calculatedColumnFormula>
    </tableColumn>
    <tableColumn id="43" xr3:uid="{1CEA1081-76EC-4A24-B095-02899B6143E1}" name="EI activity name" dataDxfId="7"/>
    <tableColumn id="12" xr3:uid="{C8A2EBF5-D91C-4C95-A89A-013848995D8A}" name="Custom process name" dataDxfId="6"/>
    <tableColumn id="6" xr3:uid="{819D561E-4A0C-4D8F-8174-B0F1B2F32063}" name="loc" dataDxfId="5"/>
    <tableColumn id="48" xr3:uid="{450275CF-A3C7-4359-A2D2-08B6C0AC6CE3}" name="Modified process name" dataDxfId="4"/>
    <tableColumn id="15" xr3:uid="{3FDE13DD-FA3D-42B3-834D-CC9655D4795D}" name="Comment" dataDxfId="3"/>
    <tableColumn id="30" xr3:uid="{F1BEB589-1FAE-4C48-B3BF-00BCF51BB428}" name="Comment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37C8-E3BF-4849-96BF-E3CB5C6DB429}">
  <dimension ref="A1:AC5"/>
  <sheetViews>
    <sheetView tabSelected="1" topLeftCell="F1" workbookViewId="0">
      <selection activeCell="P15" sqref="P15"/>
    </sheetView>
  </sheetViews>
  <sheetFormatPr defaultRowHeight="15" x14ac:dyDescent="0.25"/>
  <cols>
    <col min="1" max="1" width="10.140625" bestFit="1" customWidth="1"/>
    <col min="2" max="2" width="11.7109375" bestFit="1" customWidth="1"/>
    <col min="5" max="5" width="21" bestFit="1" customWidth="1"/>
    <col min="6" max="6" width="22.5703125" bestFit="1" customWidth="1"/>
    <col min="23" max="23" width="14.7109375" bestFit="1" customWidth="1"/>
    <col min="24" max="24" width="24.7109375" bestFit="1" customWidth="1"/>
    <col min="25" max="25" width="27.140625" bestFit="1" customWidth="1"/>
  </cols>
  <sheetData>
    <row r="1" spans="1:29" ht="63" x14ac:dyDescent="0.25">
      <c r="A1" s="6" t="s">
        <v>32</v>
      </c>
      <c r="B1" s="6" t="s">
        <v>33</v>
      </c>
      <c r="C1" s="7" t="s">
        <v>34</v>
      </c>
      <c r="D1" s="8" t="s">
        <v>35</v>
      </c>
      <c r="E1" s="9" t="s">
        <v>11</v>
      </c>
      <c r="F1" s="10" t="s">
        <v>22</v>
      </c>
      <c r="G1" s="10" t="s">
        <v>4</v>
      </c>
      <c r="H1" s="11" t="s">
        <v>3</v>
      </c>
      <c r="I1" s="16" t="s">
        <v>26</v>
      </c>
      <c r="J1" s="11" t="s">
        <v>49</v>
      </c>
      <c r="K1" s="11" t="s">
        <v>48</v>
      </c>
      <c r="L1" s="11" t="s">
        <v>28</v>
      </c>
      <c r="M1" s="11" t="s">
        <v>0</v>
      </c>
      <c r="N1" s="11" t="s">
        <v>1</v>
      </c>
      <c r="O1" s="20" t="s">
        <v>30</v>
      </c>
      <c r="P1" s="19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10</v>
      </c>
      <c r="X1" s="22" t="s">
        <v>5</v>
      </c>
      <c r="Y1" s="15" t="s">
        <v>23</v>
      </c>
      <c r="Z1" s="15" t="s">
        <v>20</v>
      </c>
      <c r="AA1" s="15" t="s">
        <v>46</v>
      </c>
      <c r="AB1" s="13" t="s">
        <v>9</v>
      </c>
      <c r="AC1" s="13" t="s">
        <v>31</v>
      </c>
    </row>
    <row r="2" spans="1:29" x14ac:dyDescent="0.25">
      <c r="A2" t="s">
        <v>38</v>
      </c>
      <c r="B2" t="s">
        <v>2</v>
      </c>
      <c r="C2" t="s">
        <v>29</v>
      </c>
      <c r="D2" s="4"/>
      <c r="E2" s="24" t="s">
        <v>39</v>
      </c>
      <c r="F2" s="21" t="s">
        <v>50</v>
      </c>
      <c r="G2" s="1"/>
      <c r="H2" s="2">
        <v>1</v>
      </c>
      <c r="I2" s="17" t="s">
        <v>7</v>
      </c>
      <c r="J2">
        <v>1</v>
      </c>
      <c r="K2">
        <f t="shared" ref="K2" si="0" xml:space="preserve"> H2*J2</f>
        <v>1</v>
      </c>
      <c r="L2" t="s">
        <v>7</v>
      </c>
      <c r="O2" s="18">
        <v>1</v>
      </c>
      <c r="P2" t="s">
        <v>19</v>
      </c>
      <c r="Q2">
        <f xml:space="preserve"> K2</f>
        <v>1</v>
      </c>
      <c r="U2" t="s">
        <v>24</v>
      </c>
      <c r="W2" s="2" t="str">
        <f t="shared" ref="W2" si="1">SUBSTITUTE(F2, "_", " ")</f>
        <v>FG device 1 prod</v>
      </c>
      <c r="X2" s="21" t="s">
        <v>8</v>
      </c>
      <c r="Y2" s="21" t="s">
        <v>44</v>
      </c>
      <c r="Z2" s="14" t="s">
        <v>21</v>
      </c>
      <c r="AA2" s="14"/>
      <c r="AB2" s="3"/>
      <c r="AC2" s="3"/>
    </row>
    <row r="3" spans="1:29" x14ac:dyDescent="0.25">
      <c r="A3" t="s">
        <v>38</v>
      </c>
      <c r="B3" t="s">
        <v>6</v>
      </c>
      <c r="C3" t="s">
        <v>29</v>
      </c>
      <c r="D3" s="5"/>
      <c r="E3" s="24" t="s">
        <v>40</v>
      </c>
      <c r="F3" s="21" t="s">
        <v>51</v>
      </c>
      <c r="G3" s="1"/>
      <c r="H3" s="2">
        <v>0</v>
      </c>
      <c r="I3" s="17" t="s">
        <v>27</v>
      </c>
      <c r="J3">
        <v>1</v>
      </c>
      <c r="K3">
        <f t="shared" ref="K3:K5" si="2" xml:space="preserve"> H3*J3</f>
        <v>0</v>
      </c>
      <c r="L3" t="s">
        <v>27</v>
      </c>
      <c r="O3" s="18">
        <v>2</v>
      </c>
      <c r="P3" t="s">
        <v>19</v>
      </c>
      <c r="Q3">
        <f xml:space="preserve"> K3</f>
        <v>0</v>
      </c>
      <c r="U3" t="s">
        <v>24</v>
      </c>
      <c r="W3" s="2" t="str">
        <f t="shared" ref="W3:W5" si="3">SUBSTITUTE(F3, "_", " ")</f>
        <v>FG device 1 T</v>
      </c>
      <c r="X3" s="21" t="s">
        <v>8</v>
      </c>
      <c r="Y3" s="21" t="s">
        <v>45</v>
      </c>
      <c r="Z3" s="14" t="s">
        <v>21</v>
      </c>
      <c r="AA3" s="14"/>
      <c r="AB3" s="23"/>
      <c r="AC3" s="3"/>
    </row>
    <row r="4" spans="1:29" x14ac:dyDescent="0.25">
      <c r="A4" t="s">
        <v>38</v>
      </c>
      <c r="B4" t="s">
        <v>36</v>
      </c>
      <c r="C4" t="s">
        <v>29</v>
      </c>
      <c r="D4" s="5"/>
      <c r="E4" s="24" t="s">
        <v>41</v>
      </c>
      <c r="F4" s="21" t="s">
        <v>53</v>
      </c>
      <c r="G4" s="1"/>
      <c r="H4" s="2">
        <v>10</v>
      </c>
      <c r="I4" s="17" t="s">
        <v>25</v>
      </c>
      <c r="J4">
        <v>1</v>
      </c>
      <c r="K4">
        <f t="shared" si="2"/>
        <v>10</v>
      </c>
      <c r="L4" t="s">
        <v>25</v>
      </c>
      <c r="O4" s="18">
        <v>3</v>
      </c>
      <c r="P4" t="s">
        <v>19</v>
      </c>
      <c r="Q4">
        <f xml:space="preserve"> K4</f>
        <v>10</v>
      </c>
      <c r="R4">
        <f t="shared" ref="R4" si="4">Q4*0.8</f>
        <v>8</v>
      </c>
      <c r="S4">
        <f t="shared" ref="S4" si="5">Q4*1.2</f>
        <v>12</v>
      </c>
      <c r="U4" t="s">
        <v>54</v>
      </c>
      <c r="W4" s="2" t="str">
        <f t="shared" si="3"/>
        <v>FG device 1 Use</v>
      </c>
      <c r="X4" s="21" t="s">
        <v>47</v>
      </c>
      <c r="Y4" s="21"/>
      <c r="Z4" s="14" t="s">
        <v>21</v>
      </c>
      <c r="AA4" s="14"/>
      <c r="AB4" s="23"/>
      <c r="AC4" s="3"/>
    </row>
    <row r="5" spans="1:29" x14ac:dyDescent="0.25">
      <c r="A5" t="s">
        <v>38</v>
      </c>
      <c r="B5" t="s">
        <v>37</v>
      </c>
      <c r="C5" t="s">
        <v>29</v>
      </c>
      <c r="D5" s="5"/>
      <c r="E5" s="24" t="s">
        <v>42</v>
      </c>
      <c r="F5" s="21" t="s">
        <v>52</v>
      </c>
      <c r="G5" s="1"/>
      <c r="H5" s="2">
        <v>0</v>
      </c>
      <c r="I5" s="17" t="s">
        <v>7</v>
      </c>
      <c r="J5">
        <v>1</v>
      </c>
      <c r="K5">
        <f t="shared" si="2"/>
        <v>0</v>
      </c>
      <c r="L5" t="s">
        <v>7</v>
      </c>
      <c r="O5" s="25">
        <v>4</v>
      </c>
      <c r="P5" t="s">
        <v>19</v>
      </c>
      <c r="Q5">
        <f xml:space="preserve"> K5</f>
        <v>0</v>
      </c>
      <c r="U5" t="s">
        <v>24</v>
      </c>
      <c r="W5" s="2" t="str">
        <f t="shared" si="3"/>
        <v>FG device 1 EoL</v>
      </c>
      <c r="X5" s="21" t="s">
        <v>8</v>
      </c>
      <c r="Y5" s="21" t="s">
        <v>43</v>
      </c>
      <c r="Z5" s="14" t="s">
        <v>21</v>
      </c>
      <c r="AA5" s="14"/>
      <c r="AB5" s="23"/>
      <c r="AC5" s="3"/>
    </row>
  </sheetData>
  <conditionalFormatting sqref="H1:L1 O1:W1">
    <cfRule type="cellIs" dxfId="1" priority="1" operator="equal">
      <formula>"Elec"</formula>
    </cfRule>
    <cfRule type="cellIs" dxfId="0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664E055D3024392F88086CF1FCE78" ma:contentTypeVersion="18" ma:contentTypeDescription="Crée un document." ma:contentTypeScope="" ma:versionID="6210ba4888d7ca466d6e1a77387b1376">
  <xsd:schema xmlns:xsd="http://www.w3.org/2001/XMLSchema" xmlns:xs="http://www.w3.org/2001/XMLSchema" xmlns:p="http://schemas.microsoft.com/office/2006/metadata/properties" xmlns:ns3="0697829a-e10a-4ecc-8cda-2f5d72ccb1b7" xmlns:ns4="13ef337f-c9b9-4264-a107-3231cbcfd79b" targetNamespace="http://schemas.microsoft.com/office/2006/metadata/properties" ma:root="true" ma:fieldsID="ce21685d69c12746a606a50df0c88be0" ns3:_="" ns4:_="">
    <xsd:import namespace="0697829a-e10a-4ecc-8cda-2f5d72ccb1b7"/>
    <xsd:import namespace="13ef337f-c9b9-4264-a107-3231cbcfd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7829a-e10a-4ecc-8cda-2f5d72ccb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f337f-c9b9-4264-a107-3231cbcfd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7829a-e10a-4ecc-8cda-2f5d72ccb1b7" xsi:nil="true"/>
  </documentManagement>
</p:properties>
</file>

<file path=customXml/itemProps1.xml><?xml version="1.0" encoding="utf-8"?>
<ds:datastoreItem xmlns:ds="http://schemas.openxmlformats.org/officeDocument/2006/customXml" ds:itemID="{C33114CE-CAEC-4CE8-82D8-6FC058EC2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7829a-e10a-4ecc-8cda-2f5d72ccb1b7"/>
    <ds:schemaRef ds:uri="13ef337f-c9b9-4264-a107-3231cbcfd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BE42DD-DB08-415E-ADAA-F88692392C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534742-DDFF-404D-89F8-92EDE7099B04}">
  <ds:schemaRefs>
    <ds:schemaRef ds:uri="http://schemas.microsoft.com/office/2006/metadata/properties"/>
    <ds:schemaRef ds:uri="0697829a-e10a-4ecc-8cda-2f5d72ccb1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13ef337f-c9b9-4264-a107-3231cbcfd79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foreground_ICT_2024_BE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Dethienne</dc:creator>
  <cp:lastModifiedBy>Robin Dethienne</cp:lastModifiedBy>
  <dcterms:created xsi:type="dcterms:W3CDTF">2015-06-05T18:17:20Z</dcterms:created>
  <dcterms:modified xsi:type="dcterms:W3CDTF">2025-08-20T13:46:36Z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0x010100103664E055D3024392F88086CF1FCE78</vt:lpwstr>
  </property>
</Properties>
</file>