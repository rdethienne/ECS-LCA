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uclouvain-my.sharepoint.com/personal/robin_dethienne_uclouvain_be/Documents/DOC/teaching/TFE_ICT/"/>
    </mc:Choice>
  </mc:AlternateContent>
  <xr:revisionPtr revIDLastSave="223" documentId="13_ncr:1_{60F5D33B-FE3E-408A-A9AE-080077CF1402}" xr6:coauthVersionLast="47" xr6:coauthVersionMax="47" xr10:uidLastSave="{45E79737-85BE-410A-BE57-A7DC87C26808}"/>
  <bookViews>
    <workbookView xWindow="-25320" yWindow="-120" windowWidth="25440" windowHeight="15270" xr2:uid="{00000000-000D-0000-FFFF-FFFF00000000}"/>
  </bookViews>
  <sheets>
    <sheet name="Device_1_Prod" sheetId="9" r:id="rId1"/>
    <sheet name="Device_1_T" sheetId="61" r:id="rId2"/>
    <sheet name="Device_1_EoL" sheetId="6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9" l="1"/>
  <c r="T13" i="9" s="1"/>
  <c r="I12" i="9"/>
  <c r="L12" i="9" s="1"/>
  <c r="D13" i="9"/>
  <c r="D12" i="9"/>
  <c r="Z12" i="9"/>
  <c r="Z13" i="9"/>
  <c r="L17" i="9"/>
  <c r="T17" i="9" s="1"/>
  <c r="D17" i="9"/>
  <c r="Z17" i="9"/>
  <c r="D2" i="9"/>
  <c r="D3" i="9"/>
  <c r="D4" i="9"/>
  <c r="D5" i="9"/>
  <c r="D6" i="9"/>
  <c r="D7" i="9"/>
  <c r="D8" i="9"/>
  <c r="D9" i="9"/>
  <c r="D10" i="9"/>
  <c r="D11" i="9"/>
  <c r="D14" i="9"/>
  <c r="D15" i="9"/>
  <c r="D16" i="9"/>
  <c r="D18" i="9"/>
  <c r="D19" i="9"/>
  <c r="Z2" i="9"/>
  <c r="Z3" i="9"/>
  <c r="Z4" i="9"/>
  <c r="Z5" i="9"/>
  <c r="Z6" i="9"/>
  <c r="Z7" i="9"/>
  <c r="Z8" i="9"/>
  <c r="Z9" i="9"/>
  <c r="Z10" i="9"/>
  <c r="Z11" i="9"/>
  <c r="Z14" i="9"/>
  <c r="Z15" i="9"/>
  <c r="Z16" i="9"/>
  <c r="Z18" i="9"/>
  <c r="Z19" i="9"/>
  <c r="I8" i="9"/>
  <c r="T12" i="9" l="1"/>
  <c r="L2" i="9"/>
  <c r="T2" i="9" s="1"/>
  <c r="L3" i="9"/>
  <c r="T3" i="9" s="1"/>
  <c r="L11" i="9"/>
  <c r="T11" i="9" s="1"/>
  <c r="L10" i="9"/>
  <c r="T10" i="9" s="1"/>
  <c r="L9" i="9"/>
  <c r="T9" i="9" s="1"/>
  <c r="L8" i="9"/>
  <c r="T8" i="9" s="1"/>
  <c r="L14" i="9" l="1"/>
  <c r="L15" i="9"/>
  <c r="L7" i="9" l="1"/>
  <c r="T7" i="9" s="1"/>
  <c r="L19" i="9" l="1"/>
  <c r="L18" i="9"/>
  <c r="U18" i="9" s="1"/>
  <c r="L5" i="9"/>
  <c r="L16" i="9"/>
  <c r="T16" i="9" s="1"/>
  <c r="L6" i="9"/>
  <c r="T6" i="9" s="1"/>
  <c r="L4" i="9"/>
  <c r="V18" i="9" l="1"/>
  <c r="T18" i="9"/>
  <c r="V15" i="9"/>
  <c r="T15" i="9"/>
  <c r="T4" i="9"/>
  <c r="V14" i="9"/>
  <c r="T14" i="9"/>
  <c r="T5" i="9"/>
  <c r="V19" i="9"/>
  <c r="T19" i="9"/>
  <c r="U15" i="9"/>
  <c r="U14" i="9"/>
  <c r="U19" i="9"/>
</calcChain>
</file>

<file path=xl/sharedStrings.xml><?xml version="1.0" encoding="utf-8"?>
<sst xmlns="http://schemas.openxmlformats.org/spreadsheetml/2006/main" count="333" uniqueCount="111">
  <si>
    <t>datasheet</t>
  </si>
  <si>
    <t>Note</t>
  </si>
  <si>
    <t>Life cycle phase</t>
  </si>
  <si>
    <t>Production</t>
  </si>
  <si>
    <t>g</t>
  </si>
  <si>
    <t>Qty</t>
  </si>
  <si>
    <t>Reference in inventory</t>
  </si>
  <si>
    <t>EI activity name</t>
  </si>
  <si>
    <t>Transport</t>
  </si>
  <si>
    <t>cm2</t>
  </si>
  <si>
    <t>ICs</t>
  </si>
  <si>
    <t xml:space="preserve"> </t>
  </si>
  <si>
    <t>SMD soldering - calculated from EIME table</t>
  </si>
  <si>
    <t>SMD capacitors 0603</t>
  </si>
  <si>
    <t>SMD resistor 1608</t>
  </si>
  <si>
    <t>UCLouvain custom process</t>
  </si>
  <si>
    <t>Comment</t>
  </si>
  <si>
    <t>Typical markets include cosmetics, pharmaceuticals, …</t>
  </si>
  <si>
    <t>From Hischier doc - mainly composed of ceramics -&gt; SMD ceramics capa</t>
  </si>
  <si>
    <t>we need 2 layers</t>
  </si>
  <si>
    <t>l'argent est important -&gt; hot spot de la soudure</t>
  </si>
  <si>
    <t>Label</t>
  </si>
  <si>
    <t>Foreground name</t>
  </si>
  <si>
    <t>Type</t>
  </si>
  <si>
    <t>Default</t>
  </si>
  <si>
    <t>Min</t>
  </si>
  <si>
    <t>Max</t>
  </si>
  <si>
    <t>Std</t>
  </si>
  <si>
    <t>Distrib</t>
  </si>
  <si>
    <t>Description</t>
  </si>
  <si>
    <t>TRIANGLE</t>
  </si>
  <si>
    <t>Float</t>
  </si>
  <si>
    <t>loc</t>
  </si>
  <si>
    <t>GLO</t>
  </si>
  <si>
    <t>RoW</t>
  </si>
  <si>
    <t>CN</t>
  </si>
  <si>
    <t>LCA algebraic name</t>
  </si>
  <si>
    <t>transport, freight, lorry, all sizes, EURO5 to generic market for transport, freight, lorry, unspecified</t>
  </si>
  <si>
    <t>transport, freight train, diesel</t>
  </si>
  <si>
    <t>Custom process name</t>
  </si>
  <si>
    <t>FIXED</t>
  </si>
  <si>
    <t>kg</t>
  </si>
  <si>
    <t>market for steel, chromium steel 18/8</t>
  </si>
  <si>
    <t>m2</t>
  </si>
  <si>
    <t>UNIFORM</t>
  </si>
  <si>
    <t>mm2 die</t>
  </si>
  <si>
    <t>Sub-assemblies 2</t>
  </si>
  <si>
    <t>printed wiring board production, for surface mounting, Pb free surface</t>
  </si>
  <si>
    <t>Sub-assemblies 3</t>
  </si>
  <si>
    <t>Unit (for Qty)</t>
  </si>
  <si>
    <t>Amount (conversion to EI)</t>
  </si>
  <si>
    <t>Total Qty fo EI (Qty*Amount)</t>
  </si>
  <si>
    <t>Sub-assemblies 1</t>
  </si>
  <si>
    <t>Sub-assemblies 4</t>
  </si>
  <si>
    <t>market for solid bleached and unbleached board carton</t>
  </si>
  <si>
    <t>Float test</t>
  </si>
  <si>
    <t>Burn test</t>
  </si>
  <si>
    <t>capacitor production, for surface-mounting</t>
  </si>
  <si>
    <t>resistor production, surface-mounted</t>
  </si>
  <si>
    <t>solder production, paste, Sn95.5Ag3.9Cu0.6, for electronics industry</t>
  </si>
  <si>
    <t>electronics - others</t>
  </si>
  <si>
    <t>transport</t>
  </si>
  <si>
    <t>heat paste</t>
  </si>
  <si>
    <t>screws</t>
  </si>
  <si>
    <t>hard plastic</t>
  </si>
  <si>
    <t>Casing</t>
  </si>
  <si>
    <t>IC1 (3261 D29C3H) frontend</t>
  </si>
  <si>
    <t>IC1 (3261 D29C3H) backend</t>
  </si>
  <si>
    <t>IC2 (HE24CO8 203850) frontend</t>
  </si>
  <si>
    <t>IC2 (HE24CO8 203850) backend</t>
  </si>
  <si>
    <t>IC3 (TKJ) frontend</t>
  </si>
  <si>
    <t>IC3 (TKJ) backend</t>
  </si>
  <si>
    <t>We assumed a Die-to-package ratio of 0.2. Chemical desencap didn't work + too small for mechanical desencap.</t>
  </si>
  <si>
    <t>Assuming 0,01g per capacitor</t>
  </si>
  <si>
    <t>Assuming 0,01g per resistor</t>
  </si>
  <si>
    <t>tkm</t>
  </si>
  <si>
    <t>Unit (Qty EI)</t>
  </si>
  <si>
    <t>No packaging, Distances are roughly estimated between two bounds (typ/2; typ*2) (but no consequences on the analysis actually)</t>
  </si>
  <si>
    <t>Device_1</t>
  </si>
  <si>
    <t>Device_1_plastic</t>
  </si>
  <si>
    <t>Device_1_screws</t>
  </si>
  <si>
    <t>Device_1_heat_paste</t>
  </si>
  <si>
    <t>PWB - Device_1</t>
  </si>
  <si>
    <t>Device_1_PWB</t>
  </si>
  <si>
    <t>Device_1_IC1_frontend</t>
  </si>
  <si>
    <t>Device_1_IC1_backend</t>
  </si>
  <si>
    <t>Device_1_IC2_frontend</t>
  </si>
  <si>
    <t>Device_1_IC2_backend</t>
  </si>
  <si>
    <t>Device_1_IC3_frontend</t>
  </si>
  <si>
    <t>Device_1_IC3_backend</t>
  </si>
  <si>
    <t>Device_1_SMD_cap_0603</t>
  </si>
  <si>
    <t>Device_1_SMD_res_1608</t>
  </si>
  <si>
    <t>Device_1_soldering</t>
  </si>
  <si>
    <t>Device_1_T1</t>
  </si>
  <si>
    <t>Device_1_T2</t>
  </si>
  <si>
    <t>Intra-Asia travels 1000km (Truck) (mass = 250g with packaging)</t>
  </si>
  <si>
    <t>Intra-Asia travels 1000km(Train) (mass = 250g with packaging)</t>
  </si>
  <si>
    <t>packaging</t>
  </si>
  <si>
    <t>cardboard packaging</t>
  </si>
  <si>
    <t>Device_1_cardboard</t>
  </si>
  <si>
    <t>market for corrugated board box</t>
  </si>
  <si>
    <t>IC4 (??) backend</t>
  </si>
  <si>
    <t>IC4 (??) frontend</t>
  </si>
  <si>
    <t>Device_1_IC4_frontend</t>
  </si>
  <si>
    <t>Device_1_IC4_backend</t>
  </si>
  <si>
    <t>parameter number</t>
  </si>
  <si>
    <t>moulded_ABS</t>
  </si>
  <si>
    <t>IC_frontend</t>
  </si>
  <si>
    <t>IC_backend</t>
  </si>
  <si>
    <t>PWB</t>
  </si>
  <si>
    <t>Modified 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</si>
</sst>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31F1F"/>
      <name val="Segoe UI"/>
      <family val="2"/>
    </font>
    <font>
      <sz val="11"/>
      <color rgb="FF231F1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6" xfId="0" applyBorder="1"/>
    <xf numFmtId="0" fontId="0" fillId="0" borderId="5" xfId="0" applyBorder="1"/>
    <xf numFmtId="0" fontId="2" fillId="0" borderId="5" xfId="0" applyFont="1" applyBorder="1"/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3" borderId="13" xfId="0" applyFont="1" applyFill="1" applyBorder="1"/>
    <xf numFmtId="0" fontId="5" fillId="2" borderId="2" xfId="0" applyFont="1" applyFill="1" applyBorder="1"/>
    <xf numFmtId="0" fontId="5" fillId="2" borderId="7" xfId="0" applyFont="1" applyFill="1" applyBorder="1"/>
    <xf numFmtId="0" fontId="5" fillId="2" borderId="3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5" borderId="12" xfId="0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0" borderId="11" xfId="0" applyFont="1" applyBorder="1"/>
    <xf numFmtId="0" fontId="7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1" xfId="0" applyFont="1" applyBorder="1"/>
    <xf numFmtId="0" fontId="0" fillId="0" borderId="16" xfId="0" applyBorder="1"/>
    <xf numFmtId="0" fontId="0" fillId="0" borderId="15" xfId="0" applyBorder="1" applyAlignment="1">
      <alignment horizontal="center"/>
    </xf>
    <xf numFmtId="0" fontId="5" fillId="4" borderId="4" xfId="0" applyFont="1" applyFill="1" applyBorder="1" applyAlignment="1">
      <alignment wrapText="1"/>
    </xf>
    <xf numFmtId="0" fontId="5" fillId="4" borderId="15" xfId="0" applyFont="1" applyFill="1" applyBorder="1" applyAlignment="1">
      <alignment horizontal="center" wrapText="1"/>
    </xf>
    <xf numFmtId="0" fontId="0" fillId="0" borderId="15" xfId="0" applyBorder="1"/>
    <xf numFmtId="0" fontId="5" fillId="5" borderId="14" xfId="0" applyFont="1" applyFill="1" applyBorder="1"/>
    <xf numFmtId="0" fontId="4" fillId="0" borderId="15" xfId="0" applyFont="1" applyBorder="1"/>
    <xf numFmtId="0" fontId="3" fillId="0" borderId="15" xfId="0" applyFont="1" applyBorder="1"/>
    <xf numFmtId="0" fontId="2" fillId="0" borderId="15" xfId="0" applyFont="1" applyBorder="1"/>
  </cellXfs>
  <cellStyles count="1">
    <cellStyle name="Normal" xfId="0" builtinId="0"/>
  </cellStyles>
  <dxfs count="105"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>
        <left style="thin">
          <color indexed="64"/>
        </lef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>
        <left style="thin">
          <color indexed="64"/>
        </lef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>
        <left style="thin">
          <color indexed="64"/>
        </lef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border diagonalUp="0" diagonalDown="0"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8076E9-5674-4341-A14A-A3C1F49CA611}" name="Table34" displayName="Table34" ref="A1:AE19" totalsRowShown="0" headerRowDxfId="104" dataDxfId="103">
  <autoFilter ref="A1:AE19" xr:uid="{00000000-0009-0000-0100-000001000000}"/>
  <sortState xmlns:xlrd2="http://schemas.microsoft.com/office/spreadsheetml/2017/richdata2" ref="A2:AE19">
    <sortCondition ref="A1:A19"/>
  </sortState>
  <tableColumns count="31">
    <tableColumn id="1" xr3:uid="{5284E3EA-1715-4005-B19D-40D01B3ECE31}" name="Life cycle phase" dataDxfId="102"/>
    <tableColumn id="19" xr3:uid="{BF77F304-1AD8-4A17-8032-AF454397A8F3}" name="Sub-assemblies 1" dataDxfId="101"/>
    <tableColumn id="3" xr3:uid="{110FD8AB-C68F-4EA7-9A2E-F5A583E9E8EE}" name="Sub-assemblies 2" dataDxfId="100"/>
    <tableColumn id="13" xr3:uid="{8B9934BE-CA26-434D-B035-B5C202BF04CD}" name="Sub-assemblies 3" dataDxfId="99">
      <calculatedColumnFormula>F2</calculatedColumnFormula>
    </tableColumn>
    <tableColumn id="8" xr3:uid="{9F27912D-104A-447B-AEF9-80AE67365E2F}" name="Sub-assemblies 4" dataDxfId="98"/>
    <tableColumn id="2" xr3:uid="{91A8E456-2734-425F-BF5C-9CF12D9D22BB}" name="Foreground name" dataDxfId="97"/>
    <tableColumn id="50" xr3:uid="{F3789218-7489-49CA-8505-6A9DB7960375}" name="LCA algebraic name" dataDxfId="96"/>
    <tableColumn id="4" xr3:uid="{FE29E37C-09D7-43A8-A9D9-85D1AF26819F}" name="Reference in inventory" dataDxfId="95"/>
    <tableColumn id="5" xr3:uid="{CE7D5D64-49A0-4BFD-9E46-44359890CEFD}" name="Qty" dataDxfId="94"/>
    <tableColumn id="37" xr3:uid="{E76D1C39-ADD2-4AF6-983E-8847E5D10EAC}" name="Unit (for Qty)" dataDxfId="93"/>
    <tableColumn id="38" xr3:uid="{8D09E34B-549F-433C-9C10-38F1113399FA}" name="Amount (conversion to EI)" dataDxfId="92"/>
    <tableColumn id="9" xr3:uid="{750F1B9A-E6A8-4014-80A3-F0CD9810C6C9}" name="Total Qty fo EI (Qty*Amount)" dataDxfId="91"/>
    <tableColumn id="18" xr3:uid="{4FAAA433-FCE8-49EE-A1C0-55006651750B}" name="Unit (Qty EI)" dataDxfId="90"/>
    <tableColumn id="16" xr3:uid="{5A38C7D7-464B-4411-A90A-3DD8D17FF64E}" name="datasheet" dataDxfId="89"/>
    <tableColumn id="17" xr3:uid="{80448413-4D55-431B-A9B8-933C00FC8BBF}" name="Float test" dataDxfId="88"/>
    <tableColumn id="7" xr3:uid="{6639F9D9-87C6-4697-BB65-C4A1A59BFA97}" name="Burn test" dataDxfId="87"/>
    <tableColumn id="14" xr3:uid="{6CAD906E-2401-4112-BEE1-725EF36C703F}" name="Note" dataDxfId="86"/>
    <tableColumn id="10" xr3:uid="{15C658AA-A5FE-4F8B-B3C3-DC0B8BBEE68F}" name="parameter number" dataDxfId="85"/>
    <tableColumn id="11" xr3:uid="{D9FE67DB-B1AB-440D-8E15-8B52F486BC6B}" name="Type" dataDxfId="84"/>
    <tableColumn id="31" xr3:uid="{C27D945F-433D-41F6-99E0-48111F823448}" name="Default" dataDxfId="83">
      <calculatedColumnFormula xml:space="preserve"> L2</calculatedColumnFormula>
    </tableColumn>
    <tableColumn id="33" xr3:uid="{7C2BB094-3CF9-4C6D-B7ED-1732BF6678BA}" name="Min" dataDxfId="82"/>
    <tableColumn id="35" xr3:uid="{6C72A4AB-D805-4AF9-8123-F1DBA42328CF}" name="Max" dataDxfId="81">
      <calculatedColumnFormula>L2*2</calculatedColumnFormula>
    </tableColumn>
    <tableColumn id="39" xr3:uid="{AB4444B5-AC30-4151-BADC-16BA45CA6C95}" name="Std" dataDxfId="80"/>
    <tableColumn id="40" xr3:uid="{B37D83C3-058E-4A72-9D3F-79D635CB1579}" name="Distrib" dataDxfId="79"/>
    <tableColumn id="46" xr3:uid="{756AC4E5-60A9-45A4-9C4D-AC02A9DEC823}" name="Description" dataDxfId="78"/>
    <tableColumn id="43" xr3:uid="{6947A3CB-8F2A-4C89-BDB6-3A1271677268}" name="Label" dataDxfId="77">
      <calculatedColumnFormula>SUBSTITUTE(G2, "_", " ")</calculatedColumnFormula>
    </tableColumn>
    <tableColumn id="12" xr3:uid="{4844E1DD-1402-4D47-AE7C-22106F7A5810}" name="EI activity name" dataDxfId="76"/>
    <tableColumn id="6" xr3:uid="{9F7AE4BF-37F9-463F-9385-F869C2BAC120}" name="Custom process name" dataDxfId="75"/>
    <tableColumn id="48" xr3:uid="{46516E45-9497-4619-9FB2-7AE48AFE4A92}" name="loc" dataDxfId="74"/>
    <tableColumn id="15" xr3:uid="{48B335B0-0BD0-489D-BB23-2469663E56CA}" name="Modified process name" dataDxfId="73"/>
    <tableColumn id="30" xr3:uid="{240F660F-5C69-4510-ADAA-5A6B3E4EF978}" name="Comment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31C4C3-DEAF-4967-BE80-C19954BB1EB5}" name="Table34814" displayName="Table34814" ref="A1:AE2" insertRow="1" totalsRowShown="0" headerRowDxfId="71" dataDxfId="70">
  <autoFilter ref="A1:AE2" xr:uid="{C231C4C3-DEAF-4967-BE80-C19954BB1EB5}"/>
  <sortState xmlns:xlrd2="http://schemas.microsoft.com/office/spreadsheetml/2017/richdata2" ref="A2:AE2">
    <sortCondition ref="A1:A2"/>
  </sortState>
  <tableColumns count="31">
    <tableColumn id="1" xr3:uid="{73C33D07-2F73-47C2-BF26-EBC2057ACC78}" name="Life cycle phase" dataDxfId="69"/>
    <tableColumn id="19" xr3:uid="{568198E5-449A-45CB-B5D8-93B2418E2778}" name="Sub-assemblies 1" dataDxfId="68"/>
    <tableColumn id="3" xr3:uid="{EEB353F6-D576-484D-AC91-561520DCD4AF}" name="Sub-assemblies 2" dataDxfId="67"/>
    <tableColumn id="13" xr3:uid="{45586B14-8A5E-4701-8216-08B04A67CCB7}" name="Sub-assemblies 3" dataDxfId="66">
      <calculatedColumnFormula>F2</calculatedColumnFormula>
    </tableColumn>
    <tableColumn id="8" xr3:uid="{514B9D29-6F4C-4043-8396-56BDF5DD0FF7}" name="Sub-assemblies 4" dataDxfId="65"/>
    <tableColumn id="2" xr3:uid="{9D2F79B4-F9CD-423C-9E19-A8B69D49AF4C}" name="Foreground name" dataDxfId="64"/>
    <tableColumn id="50" xr3:uid="{FA276678-32B2-4A00-8309-A651B5E27B14}" name="LCA algebraic name" dataDxfId="63"/>
    <tableColumn id="4" xr3:uid="{9909960E-BFE8-402D-93D6-702E7BF7BA22}" name="Reference in inventory" dataDxfId="62"/>
    <tableColumn id="5" xr3:uid="{A822DFB8-EF75-4477-A0A0-8BCFB5E12DC7}" name="Qty" dataDxfId="61"/>
    <tableColumn id="37" xr3:uid="{6FD1DA65-7A1E-4D98-8840-24FE5178DD70}" name="Unit (for Qty)" dataDxfId="60"/>
    <tableColumn id="38" xr3:uid="{B7E6925F-5B05-40C8-95C3-4C2C0CD01C75}" name="Amount (conversion to EI)" dataDxfId="59"/>
    <tableColumn id="9" xr3:uid="{BBD3FB2E-291E-45BC-B89C-8FA4C92D39BA}" name="Total Qty fo EI (Qty*Amount)" dataDxfId="58">
      <calculatedColumnFormula xml:space="preserve"> I2*K2</calculatedColumnFormula>
    </tableColumn>
    <tableColumn id="18" xr3:uid="{E5A318DB-95DA-44C7-819F-BD3728EBDA59}" name="Unit (Qty EI)" dataDxfId="57"/>
    <tableColumn id="16" xr3:uid="{F7B30C89-37F6-4A38-BF8B-6E3187CB170A}" name="datasheet" dataDxfId="56"/>
    <tableColumn id="17" xr3:uid="{B7D32CDA-857B-4C81-BF35-22BF37019F32}" name="Float test" dataDxfId="55"/>
    <tableColumn id="7" xr3:uid="{3E4D61DF-1F93-4FE6-B870-7F6E8F47E5FC}" name="Burn test" dataDxfId="54"/>
    <tableColumn id="14" xr3:uid="{1CD985E5-4A01-4533-8228-94A643B784A0}" name="Note" dataDxfId="53"/>
    <tableColumn id="10" xr3:uid="{2974801F-EFC9-4FE2-AECC-51DC31C615BC}" name="parameter number" dataDxfId="52"/>
    <tableColumn id="11" xr3:uid="{09D464F2-1814-4FB1-9B84-1DD592CAE43D}" name="Type" dataDxfId="51"/>
    <tableColumn id="31" xr3:uid="{1C27D68D-8563-46AE-A520-FAA24DD40171}" name="Default" dataDxfId="50"/>
    <tableColumn id="33" xr3:uid="{36FF3D88-D392-453A-8C07-D36358B58F5F}" name="Min" dataDxfId="49"/>
    <tableColumn id="35" xr3:uid="{91A298DA-3AF1-4342-988F-EF82DB2F7E89}" name="Max" dataDxfId="48"/>
    <tableColumn id="39" xr3:uid="{E200F9D9-3FE6-4C9B-B201-49424F93EBA9}" name="Std" dataDxfId="47"/>
    <tableColumn id="40" xr3:uid="{52BA030C-6EFF-4297-A42F-D0708A7F55E5}" name="Distrib" dataDxfId="46"/>
    <tableColumn id="46" xr3:uid="{1079DE59-750A-4D60-B056-7F08925652B2}" name="Description" dataDxfId="45"/>
    <tableColumn id="43" xr3:uid="{24197B92-808D-41B5-9591-D360B4EFA9B6}" name="Label" dataDxfId="44">
      <calculatedColumnFormula>SUBSTITUTE(G2, "_", " ")</calculatedColumnFormula>
    </tableColumn>
    <tableColumn id="12" xr3:uid="{6ADEFB06-D422-4D22-BACB-5DDB8708702C}" name="EI activity name" dataDxfId="43"/>
    <tableColumn id="6" xr3:uid="{9C26C8A2-B04D-463C-9D43-F550F5A4D4A2}" name="Custom process name" dataDxfId="42"/>
    <tableColumn id="48" xr3:uid="{472DC505-503B-4CD7-9E2E-E51CEF96C510}" name="loc" dataDxfId="41"/>
    <tableColumn id="15" xr3:uid="{2FCBEA75-C971-411B-9BFB-5B2A0581C07C}" name="Modified process name" dataDxfId="40"/>
    <tableColumn id="30" xr3:uid="{8CF0121A-E6AF-4C97-B349-222E42745A8D}" name="Comment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1131C-D016-4E94-833B-AA4F7C2D9096}" name="Table348143" displayName="Table348143" ref="A1:AE2" insertRow="1" totalsRowShown="0" headerRowDxfId="38" dataDxfId="37">
  <autoFilter ref="A1:AE2" xr:uid="{6451131C-D016-4E94-833B-AA4F7C2D9096}"/>
  <sortState xmlns:xlrd2="http://schemas.microsoft.com/office/spreadsheetml/2017/richdata2" ref="A2:AE2">
    <sortCondition ref="A1:A2"/>
  </sortState>
  <tableColumns count="31">
    <tableColumn id="1" xr3:uid="{59FAA4B4-1F65-4547-ACEB-3D0B97BA0C56}" name="Life cycle phase" dataDxfId="36"/>
    <tableColumn id="19" xr3:uid="{469B3DC5-46CA-4142-A0D8-F2612C1DAD2A}" name="Sub-assemblies 1" dataDxfId="35"/>
    <tableColumn id="3" xr3:uid="{3699BFCE-BE9B-45B7-A18E-E406C3CE54F6}" name="Sub-assemblies 2" dataDxfId="34"/>
    <tableColumn id="13" xr3:uid="{0AA2BAA0-9B93-4F31-9BC3-2DD67EA36E6C}" name="Sub-assemblies 3" dataDxfId="33">
      <calculatedColumnFormula>F2</calculatedColumnFormula>
    </tableColumn>
    <tableColumn id="8" xr3:uid="{A86FFB0E-E6CA-4FA4-B8BB-7BA4741481CF}" name="Sub-assemblies 4" dataDxfId="32"/>
    <tableColumn id="2" xr3:uid="{4E550180-346D-4BB9-B0D8-523966EDDB2A}" name="Foreground name" dataDxfId="31"/>
    <tableColumn id="50" xr3:uid="{3C7F51D9-7194-4C6F-B129-35F39D56B8DA}" name="LCA algebraic name" dataDxfId="30"/>
    <tableColumn id="4" xr3:uid="{B8295BA7-1B5E-419C-ADB6-C20B7D91C2AF}" name="Reference in inventory" dataDxfId="29"/>
    <tableColumn id="5" xr3:uid="{16465484-31B9-4170-B8E3-F048F0A3D281}" name="Qty" dataDxfId="28"/>
    <tableColumn id="37" xr3:uid="{D4C3F4A7-2ECC-4F77-93B8-B4E23DCFE422}" name="Unit (for Qty)" dataDxfId="27"/>
    <tableColumn id="38" xr3:uid="{1916B264-1B33-4D04-BB02-09F84744ECDF}" name="Amount (conversion to EI)" dataDxfId="26"/>
    <tableColumn id="9" xr3:uid="{CF2CD7A8-AADA-463B-9239-7640A6F83513}" name="Total Qty fo EI (Qty*Amount)" dataDxfId="25">
      <calculatedColumnFormula xml:space="preserve"> I2*K2</calculatedColumnFormula>
    </tableColumn>
    <tableColumn id="18" xr3:uid="{2F3B4ADB-49DA-4C8F-A9F2-B03DB2153855}" name="Unit (Qty EI)" dataDxfId="24"/>
    <tableColumn id="16" xr3:uid="{76C24B49-4C24-4E54-AC7B-DE94405A1D6F}" name="datasheet" dataDxfId="23"/>
    <tableColumn id="17" xr3:uid="{E2E8D92D-E7F6-41E8-B648-9FE4E750AC92}" name="Float test" dataDxfId="22"/>
    <tableColumn id="7" xr3:uid="{E8B3588D-462F-4836-9AAE-34AE3FE226E7}" name="Burn test" dataDxfId="21"/>
    <tableColumn id="14" xr3:uid="{3FEF8F66-A12A-4E07-81B4-3F4F5CE11C74}" name="Note" dataDxfId="20"/>
    <tableColumn id="10" xr3:uid="{0851AE16-94C1-4BC7-B86D-762B1268741F}" name="parameter number" dataDxfId="19"/>
    <tableColumn id="11" xr3:uid="{C649EEA4-CA7E-4D4E-881A-A6064AECD0C8}" name="Type" dataDxfId="18"/>
    <tableColumn id="31" xr3:uid="{CCDA6EEC-444A-4874-BCFA-22654015DBBA}" name="Default" dataDxfId="17"/>
    <tableColumn id="33" xr3:uid="{F4ADE0B9-A0E6-4A32-BBD4-9589D25443E2}" name="Min" dataDxfId="16"/>
    <tableColumn id="35" xr3:uid="{B4E5FE8F-850D-4C5F-BEDE-BD52933AD34F}" name="Max" dataDxfId="15"/>
    <tableColumn id="39" xr3:uid="{901A759E-F850-4122-925C-A579FA210DCF}" name="Std" dataDxfId="14"/>
    <tableColumn id="40" xr3:uid="{40B83805-D0D9-41E5-8C79-DEDB5B6E88A9}" name="Distrib" dataDxfId="13"/>
    <tableColumn id="46" xr3:uid="{F8B4E8E1-2ADE-4E7D-AF11-CC6748B13EEA}" name="Description" dataDxfId="12"/>
    <tableColumn id="43" xr3:uid="{0E906765-A53B-437B-A1ED-14E5691F4A93}" name="Label" dataDxfId="11">
      <calculatedColumnFormula>SUBSTITUTE(G2, "_", " ")</calculatedColumnFormula>
    </tableColumn>
    <tableColumn id="12" xr3:uid="{82DE72CB-6090-438E-B329-CAFBEFC3DB58}" name="EI activity name" dataDxfId="10"/>
    <tableColumn id="6" xr3:uid="{FFC462E7-A8CF-4E67-81EF-7BED7A78FBA1}" name="Custom process name" dataDxfId="9"/>
    <tableColumn id="48" xr3:uid="{DDF9B4BE-FE71-4B08-A579-14213FD2B2F2}" name="loc" dataDxfId="8"/>
    <tableColumn id="15" xr3:uid="{55804619-373A-4146-BB0D-C43F2FE4E401}" name="Modified process name" dataDxfId="7"/>
    <tableColumn id="30" xr3:uid="{ABB66AA3-3141-4C22-AD26-AE08473C00E7}" name="Commen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0DBD-84D0-4457-869E-0D80CEF5F99C}">
  <sheetPr>
    <tabColor theme="4" tint="-0.249977111117893"/>
  </sheetPr>
  <dimension ref="A1:AF19"/>
  <sheetViews>
    <sheetView tabSelected="1" zoomScale="85" zoomScaleNormal="85" workbookViewId="0">
      <selection activeCell="G25" sqref="G25"/>
    </sheetView>
  </sheetViews>
  <sheetFormatPr defaultColWidth="9.140625" defaultRowHeight="15" x14ac:dyDescent="0.25"/>
  <cols>
    <col min="1" max="1" width="17.28515625" bestFit="1" customWidth="1"/>
    <col min="2" max="2" width="27.85546875" customWidth="1"/>
    <col min="3" max="3" width="23.85546875" customWidth="1"/>
    <col min="4" max="4" width="47.85546875" customWidth="1"/>
    <col min="5" max="5" width="27.28515625" style="4" customWidth="1"/>
    <col min="6" max="6" width="35.5703125" customWidth="1"/>
    <col min="7" max="7" width="28.28515625" customWidth="1"/>
    <col min="8" max="8" width="6.85546875" customWidth="1"/>
    <col min="9" max="9" width="14.5703125" bestFit="1" customWidth="1"/>
    <col min="10" max="10" width="17.5703125" style="16" customWidth="1"/>
    <col min="11" max="11" width="8.28515625" customWidth="1"/>
    <col min="12" max="12" width="9.42578125" customWidth="1"/>
    <col min="13" max="13" width="7.7109375" customWidth="1"/>
    <col min="14" max="14" width="2.85546875" customWidth="1"/>
    <col min="15" max="15" width="3" customWidth="1"/>
    <col min="16" max="17" width="3.28515625" customWidth="1"/>
    <col min="18" max="18" width="20.5703125" style="33" customWidth="1"/>
    <col min="19" max="19" width="8.28515625" style="16" customWidth="1"/>
    <col min="20" max="20" width="9.5703125" customWidth="1"/>
    <col min="21" max="21" width="7" customWidth="1"/>
    <col min="22" max="22" width="9" customWidth="1"/>
    <col min="23" max="23" width="6.7109375" customWidth="1"/>
    <col min="24" max="24" width="10.42578125" customWidth="1"/>
    <col min="25" max="25" width="6.42578125" customWidth="1"/>
    <col min="26" max="26" width="9.85546875" customWidth="1"/>
    <col min="27" max="27" width="28.5703125" style="29" customWidth="1"/>
    <col min="28" max="28" width="35.5703125" style="16" customWidth="1"/>
    <col min="29" max="29" width="15.28515625" style="16" customWidth="1"/>
    <col min="30" max="30" width="27.42578125" style="16" customWidth="1"/>
    <col min="31" max="31" width="149.140625" customWidth="1"/>
    <col min="32" max="32" width="179.140625" style="4" customWidth="1"/>
  </cols>
  <sheetData>
    <row r="1" spans="1:32" s="15" customFormat="1" ht="141.75" x14ac:dyDescent="0.25">
      <c r="A1" s="7" t="s">
        <v>2</v>
      </c>
      <c r="B1" s="7" t="s">
        <v>52</v>
      </c>
      <c r="C1" s="7" t="s">
        <v>46</v>
      </c>
      <c r="D1" s="8" t="s">
        <v>48</v>
      </c>
      <c r="E1" s="9" t="s">
        <v>53</v>
      </c>
      <c r="F1" s="10" t="s">
        <v>22</v>
      </c>
      <c r="G1" s="11" t="s">
        <v>36</v>
      </c>
      <c r="H1" s="11" t="s">
        <v>6</v>
      </c>
      <c r="I1" s="12" t="s">
        <v>5</v>
      </c>
      <c r="J1" s="18" t="s">
        <v>49</v>
      </c>
      <c r="K1" s="12" t="s">
        <v>50</v>
      </c>
      <c r="L1" s="12" t="s">
        <v>51</v>
      </c>
      <c r="M1" s="12" t="s">
        <v>76</v>
      </c>
      <c r="N1" s="12" t="s">
        <v>0</v>
      </c>
      <c r="O1" s="12" t="s">
        <v>55</v>
      </c>
      <c r="P1" s="12" t="s">
        <v>56</v>
      </c>
      <c r="Q1" s="12" t="s">
        <v>1</v>
      </c>
      <c r="R1" s="32" t="s">
        <v>105</v>
      </c>
      <c r="S1" s="31" t="s">
        <v>23</v>
      </c>
      <c r="T1" s="13" t="s">
        <v>24</v>
      </c>
      <c r="U1" s="13" t="s">
        <v>25</v>
      </c>
      <c r="V1" s="13" t="s">
        <v>26</v>
      </c>
      <c r="W1" s="13" t="s">
        <v>27</v>
      </c>
      <c r="X1" s="13" t="s">
        <v>28</v>
      </c>
      <c r="Y1" s="13" t="s">
        <v>29</v>
      </c>
      <c r="Z1" s="13" t="s">
        <v>21</v>
      </c>
      <c r="AA1" s="34" t="s">
        <v>7</v>
      </c>
      <c r="AB1" s="17" t="s">
        <v>39</v>
      </c>
      <c r="AC1" s="17" t="s">
        <v>32</v>
      </c>
      <c r="AD1" s="17" t="s">
        <v>110</v>
      </c>
      <c r="AE1" s="14" t="s">
        <v>16</v>
      </c>
    </row>
    <row r="2" spans="1:32" x14ac:dyDescent="0.25">
      <c r="A2" t="s">
        <v>3</v>
      </c>
      <c r="B2" t="s">
        <v>78</v>
      </c>
      <c r="C2" t="s">
        <v>65</v>
      </c>
      <c r="D2" s="6" t="str">
        <f t="shared" ref="D2:D19" si="0">F2</f>
        <v>hard plastic</v>
      </c>
      <c r="E2" s="5"/>
      <c r="F2" s="2" t="s">
        <v>64</v>
      </c>
      <c r="G2" s="2" t="s">
        <v>79</v>
      </c>
      <c r="H2" s="1"/>
      <c r="I2" s="2">
        <v>50</v>
      </c>
      <c r="J2" s="19" t="s">
        <v>4</v>
      </c>
      <c r="K2">
        <v>1E-3</v>
      </c>
      <c r="L2">
        <f t="shared" ref="L2" si="1" xml:space="preserve"> I2*K2</f>
        <v>0.05</v>
      </c>
      <c r="M2" t="s">
        <v>41</v>
      </c>
      <c r="R2" s="30">
        <v>1</v>
      </c>
      <c r="S2" t="s">
        <v>31</v>
      </c>
      <c r="T2">
        <f xml:space="preserve"> L2</f>
        <v>0.05</v>
      </c>
      <c r="X2" t="s">
        <v>40</v>
      </c>
      <c r="Z2" s="2" t="str">
        <f t="shared" ref="Z2:Z19" si="2">SUBSTITUTE(G2, "_", " ")</f>
        <v>Device 1 plastic</v>
      </c>
      <c r="AA2" s="33" t="s">
        <v>15</v>
      </c>
      <c r="AB2" s="26" t="s">
        <v>106</v>
      </c>
      <c r="AC2" s="16" t="s">
        <v>33</v>
      </c>
      <c r="AE2" s="4"/>
      <c r="AF2"/>
    </row>
    <row r="3" spans="1:32" x14ac:dyDescent="0.25">
      <c r="A3" t="s">
        <v>3</v>
      </c>
      <c r="B3" t="s">
        <v>78</v>
      </c>
      <c r="C3" t="s">
        <v>65</v>
      </c>
      <c r="D3" s="6" t="str">
        <f t="shared" si="0"/>
        <v>screws</v>
      </c>
      <c r="E3" s="5"/>
      <c r="F3" s="2" t="s">
        <v>63</v>
      </c>
      <c r="G3" s="2" t="s">
        <v>80</v>
      </c>
      <c r="I3" s="2">
        <v>1</v>
      </c>
      <c r="J3" s="19" t="s">
        <v>4</v>
      </c>
      <c r="K3">
        <v>1E-3</v>
      </c>
      <c r="L3">
        <f t="shared" ref="L3" si="3" xml:space="preserve"> I3*K3</f>
        <v>1E-3</v>
      </c>
      <c r="M3" t="s">
        <v>41</v>
      </c>
      <c r="R3" s="30">
        <v>3</v>
      </c>
      <c r="S3" t="s">
        <v>31</v>
      </c>
      <c r="T3">
        <f xml:space="preserve"> L3</f>
        <v>1E-3</v>
      </c>
      <c r="X3" t="s">
        <v>40</v>
      </c>
      <c r="Z3" s="2" t="str">
        <f t="shared" si="2"/>
        <v>Device 1 screws</v>
      </c>
      <c r="AA3" s="33" t="s">
        <v>42</v>
      </c>
      <c r="AB3" s="26"/>
      <c r="AC3" s="16" t="s">
        <v>33</v>
      </c>
      <c r="AE3" s="4"/>
      <c r="AF3"/>
    </row>
    <row r="4" spans="1:32" x14ac:dyDescent="0.25">
      <c r="A4" t="s">
        <v>3</v>
      </c>
      <c r="B4" t="s">
        <v>78</v>
      </c>
      <c r="C4" t="s">
        <v>60</v>
      </c>
      <c r="D4" s="4" t="str">
        <f t="shared" si="0"/>
        <v>heat paste</v>
      </c>
      <c r="F4" s="2" t="s">
        <v>62</v>
      </c>
      <c r="G4" s="2" t="s">
        <v>81</v>
      </c>
      <c r="I4" s="2">
        <v>1</v>
      </c>
      <c r="J4" s="19" t="s">
        <v>4</v>
      </c>
      <c r="K4">
        <v>1E-3</v>
      </c>
      <c r="L4">
        <f t="shared" ref="L4:L19" si="4" xml:space="preserve"> I4*K4</f>
        <v>1E-3</v>
      </c>
      <c r="M4" t="s">
        <v>41</v>
      </c>
      <c r="N4" t="s">
        <v>11</v>
      </c>
      <c r="O4" t="s">
        <v>11</v>
      </c>
      <c r="R4" s="30">
        <v>5</v>
      </c>
      <c r="S4" t="s">
        <v>31</v>
      </c>
      <c r="T4">
        <f t="shared" ref="T4:T14" si="5" xml:space="preserve"> L4</f>
        <v>1E-3</v>
      </c>
      <c r="X4" t="s">
        <v>40</v>
      </c>
      <c r="Z4" s="2" t="str">
        <f t="shared" si="2"/>
        <v>Device 1 heat paste</v>
      </c>
      <c r="AA4" s="35" t="s">
        <v>54</v>
      </c>
      <c r="AB4" s="26"/>
      <c r="AC4" s="16" t="s">
        <v>34</v>
      </c>
      <c r="AE4" s="28" t="s">
        <v>17</v>
      </c>
      <c r="AF4"/>
    </row>
    <row r="5" spans="1:32" x14ac:dyDescent="0.25">
      <c r="A5" s="21" t="s">
        <v>3</v>
      </c>
      <c r="B5" t="s">
        <v>78</v>
      </c>
      <c r="C5" t="s">
        <v>60</v>
      </c>
      <c r="D5" s="4" t="str">
        <f t="shared" si="0"/>
        <v>PWB - Device_1</v>
      </c>
      <c r="F5" s="3" t="s">
        <v>82</v>
      </c>
      <c r="G5" s="21" t="s">
        <v>83</v>
      </c>
      <c r="H5" s="21"/>
      <c r="I5" s="21">
        <v>20</v>
      </c>
      <c r="J5" s="23" t="s">
        <v>9</v>
      </c>
      <c r="K5" s="21">
        <v>1E-4</v>
      </c>
      <c r="L5" s="21">
        <f xml:space="preserve"> I5*K5</f>
        <v>2E-3</v>
      </c>
      <c r="M5" s="21" t="s">
        <v>43</v>
      </c>
      <c r="N5" s="21" t="s">
        <v>11</v>
      </c>
      <c r="O5" t="s">
        <v>11</v>
      </c>
      <c r="P5" s="21"/>
      <c r="Q5" s="21"/>
      <c r="R5" s="30">
        <v>6</v>
      </c>
      <c r="S5" s="21" t="s">
        <v>31</v>
      </c>
      <c r="T5" s="21">
        <f xml:space="preserve"> L5</f>
        <v>2E-3</v>
      </c>
      <c r="U5" s="21"/>
      <c r="V5" s="21"/>
      <c r="W5" s="21"/>
      <c r="X5" s="21" t="s">
        <v>40</v>
      </c>
      <c r="Y5" s="21"/>
      <c r="Z5" s="2" t="str">
        <f t="shared" si="2"/>
        <v>Device 1 PWB</v>
      </c>
      <c r="AA5" s="37" t="s">
        <v>47</v>
      </c>
      <c r="AB5" s="27"/>
      <c r="AC5" s="24" t="s">
        <v>33</v>
      </c>
      <c r="AD5" s="24" t="s">
        <v>109</v>
      </c>
      <c r="AE5" s="22" t="s">
        <v>19</v>
      </c>
      <c r="AF5"/>
    </row>
    <row r="6" spans="1:32" x14ac:dyDescent="0.25">
      <c r="A6" t="s">
        <v>3</v>
      </c>
      <c r="B6" t="s">
        <v>78</v>
      </c>
      <c r="C6" t="s">
        <v>10</v>
      </c>
      <c r="D6" s="4" t="str">
        <f t="shared" si="0"/>
        <v>IC1 (3261 D29C3H) frontend</v>
      </c>
      <c r="F6" s="2" t="s">
        <v>66</v>
      </c>
      <c r="G6" s="2" t="s">
        <v>84</v>
      </c>
      <c r="I6" s="2">
        <v>5</v>
      </c>
      <c r="J6" s="19" t="s">
        <v>45</v>
      </c>
      <c r="K6">
        <v>9.9999999999999995E-7</v>
      </c>
      <c r="L6">
        <f t="shared" si="4"/>
        <v>4.9999999999999996E-6</v>
      </c>
      <c r="M6" t="s">
        <v>43</v>
      </c>
      <c r="O6" t="s">
        <v>11</v>
      </c>
      <c r="R6" s="30">
        <v>7</v>
      </c>
      <c r="S6" t="s">
        <v>31</v>
      </c>
      <c r="T6">
        <f t="shared" si="5"/>
        <v>4.9999999999999996E-6</v>
      </c>
      <c r="X6" t="s">
        <v>40</v>
      </c>
      <c r="Z6" s="2" t="str">
        <f t="shared" si="2"/>
        <v>Device 1 IC1 frontend</v>
      </c>
      <c r="AA6" s="33" t="s">
        <v>15</v>
      </c>
      <c r="AB6" s="26" t="s">
        <v>107</v>
      </c>
      <c r="AC6" s="16" t="s">
        <v>33</v>
      </c>
      <c r="AD6" s="25"/>
      <c r="AE6" s="4"/>
      <c r="AF6"/>
    </row>
    <row r="7" spans="1:32" x14ac:dyDescent="0.25">
      <c r="A7" t="s">
        <v>3</v>
      </c>
      <c r="B7" t="s">
        <v>78</v>
      </c>
      <c r="C7" t="s">
        <v>10</v>
      </c>
      <c r="D7" s="4" t="str">
        <f t="shared" si="0"/>
        <v>IC1 (3261 D29C3H) backend</v>
      </c>
      <c r="F7" s="2" t="s">
        <v>67</v>
      </c>
      <c r="G7" s="2" t="s">
        <v>85</v>
      </c>
      <c r="I7" s="2">
        <v>4.0000000000000001E-3</v>
      </c>
      <c r="J7" s="20" t="s">
        <v>4</v>
      </c>
      <c r="K7">
        <v>1E-3</v>
      </c>
      <c r="L7">
        <f xml:space="preserve"> I7*K7</f>
        <v>3.9999999999999998E-6</v>
      </c>
      <c r="M7" t="s">
        <v>41</v>
      </c>
      <c r="O7" t="s">
        <v>11</v>
      </c>
      <c r="R7" s="30">
        <v>8</v>
      </c>
      <c r="S7" t="s">
        <v>31</v>
      </c>
      <c r="T7">
        <f xml:space="preserve"> L7</f>
        <v>3.9999999999999998E-6</v>
      </c>
      <c r="X7" t="s">
        <v>40</v>
      </c>
      <c r="Z7" s="2" t="str">
        <f t="shared" si="2"/>
        <v>Device 1 IC1 backend</v>
      </c>
      <c r="AA7" s="33" t="s">
        <v>15</v>
      </c>
      <c r="AB7" s="26" t="s">
        <v>108</v>
      </c>
      <c r="AC7" s="16" t="s">
        <v>33</v>
      </c>
      <c r="AD7" s="25"/>
      <c r="AE7" s="4"/>
      <c r="AF7"/>
    </row>
    <row r="8" spans="1:32" x14ac:dyDescent="0.25">
      <c r="A8" t="s">
        <v>3</v>
      </c>
      <c r="B8" t="s">
        <v>78</v>
      </c>
      <c r="C8" t="s">
        <v>10</v>
      </c>
      <c r="D8" s="4" t="str">
        <f t="shared" si="0"/>
        <v>IC2 (HE24CO8 203850) frontend</v>
      </c>
      <c r="F8" s="2" t="s">
        <v>68</v>
      </c>
      <c r="G8" s="2" t="s">
        <v>86</v>
      </c>
      <c r="I8" s="2">
        <f>0.2*4.2*3</f>
        <v>2.5200000000000005</v>
      </c>
      <c r="J8" s="19" t="s">
        <v>45</v>
      </c>
      <c r="K8">
        <v>9.9999999999999995E-7</v>
      </c>
      <c r="L8">
        <f t="shared" ref="L8" si="6" xml:space="preserve"> I8*K8</f>
        <v>2.5200000000000004E-6</v>
      </c>
      <c r="M8" t="s">
        <v>43</v>
      </c>
      <c r="O8" t="s">
        <v>11</v>
      </c>
      <c r="Q8" t="s">
        <v>72</v>
      </c>
      <c r="R8" s="30">
        <v>9</v>
      </c>
      <c r="S8" t="s">
        <v>31</v>
      </c>
      <c r="T8">
        <f t="shared" ref="T8" si="7" xml:space="preserve"> L8</f>
        <v>2.5200000000000004E-6</v>
      </c>
      <c r="X8" t="s">
        <v>40</v>
      </c>
      <c r="Z8" s="2" t="str">
        <f t="shared" si="2"/>
        <v>Device 1 IC2 frontend</v>
      </c>
      <c r="AA8" s="33" t="s">
        <v>15</v>
      </c>
      <c r="AB8" s="26" t="s">
        <v>107</v>
      </c>
      <c r="AC8" s="16" t="s">
        <v>33</v>
      </c>
      <c r="AD8" s="25"/>
      <c r="AE8" s="4"/>
      <c r="AF8"/>
    </row>
    <row r="9" spans="1:32" x14ac:dyDescent="0.25">
      <c r="A9" t="s">
        <v>3</v>
      </c>
      <c r="B9" t="s">
        <v>78</v>
      </c>
      <c r="C9" t="s">
        <v>10</v>
      </c>
      <c r="D9" s="4" t="str">
        <f t="shared" si="0"/>
        <v>IC2 (HE24CO8 203850) backend</v>
      </c>
      <c r="F9" s="2" t="s">
        <v>69</v>
      </c>
      <c r="G9" s="2" t="s">
        <v>87</v>
      </c>
      <c r="I9" s="2">
        <v>3.2000000000000001E-2</v>
      </c>
      <c r="J9" s="20" t="s">
        <v>4</v>
      </c>
      <c r="K9">
        <v>1E-3</v>
      </c>
      <c r="L9">
        <f xml:space="preserve"> I9*K9</f>
        <v>3.1999999999999999E-5</v>
      </c>
      <c r="M9" t="s">
        <v>41</v>
      </c>
      <c r="O9" t="s">
        <v>11</v>
      </c>
      <c r="R9" s="30">
        <v>10</v>
      </c>
      <c r="S9" t="s">
        <v>31</v>
      </c>
      <c r="T9">
        <f xml:space="preserve"> L9</f>
        <v>3.1999999999999999E-5</v>
      </c>
      <c r="X9" t="s">
        <v>40</v>
      </c>
      <c r="Z9" s="2" t="str">
        <f t="shared" si="2"/>
        <v>Device 1 IC2 backend</v>
      </c>
      <c r="AA9" s="33" t="s">
        <v>15</v>
      </c>
      <c r="AB9" s="26" t="s">
        <v>108</v>
      </c>
      <c r="AC9" s="16" t="s">
        <v>33</v>
      </c>
      <c r="AD9" s="25"/>
      <c r="AE9" s="4"/>
      <c r="AF9"/>
    </row>
    <row r="10" spans="1:32" x14ac:dyDescent="0.25">
      <c r="A10" t="s">
        <v>3</v>
      </c>
      <c r="B10" t="s">
        <v>78</v>
      </c>
      <c r="C10" t="s">
        <v>10</v>
      </c>
      <c r="D10" s="4" t="str">
        <f t="shared" si="0"/>
        <v>IC3 (TKJ) frontend</v>
      </c>
      <c r="F10" s="2" t="s">
        <v>70</v>
      </c>
      <c r="G10" s="2" t="s">
        <v>88</v>
      </c>
      <c r="I10" s="2">
        <v>50</v>
      </c>
      <c r="J10" s="19" t="s">
        <v>45</v>
      </c>
      <c r="K10">
        <v>9.9999999999999995E-7</v>
      </c>
      <c r="L10">
        <f t="shared" ref="L10" si="8" xml:space="preserve"> I10*K10</f>
        <v>4.9999999999999996E-5</v>
      </c>
      <c r="M10" t="s">
        <v>43</v>
      </c>
      <c r="O10" t="s">
        <v>11</v>
      </c>
      <c r="Q10" t="s">
        <v>72</v>
      </c>
      <c r="R10" s="30">
        <v>11</v>
      </c>
      <c r="S10" t="s">
        <v>31</v>
      </c>
      <c r="T10">
        <f t="shared" ref="T10" si="9" xml:space="preserve"> L10</f>
        <v>4.9999999999999996E-5</v>
      </c>
      <c r="X10" t="s">
        <v>40</v>
      </c>
      <c r="Z10" s="2" t="str">
        <f t="shared" si="2"/>
        <v>Device 1 IC3 frontend</v>
      </c>
      <c r="AA10" s="33" t="s">
        <v>15</v>
      </c>
      <c r="AB10" s="26" t="s">
        <v>107</v>
      </c>
      <c r="AC10" s="16" t="s">
        <v>33</v>
      </c>
      <c r="AD10" s="25"/>
      <c r="AE10" s="4"/>
      <c r="AF10"/>
    </row>
    <row r="11" spans="1:32" x14ac:dyDescent="0.25">
      <c r="A11" t="s">
        <v>3</v>
      </c>
      <c r="B11" t="s">
        <v>78</v>
      </c>
      <c r="C11" t="s">
        <v>10</v>
      </c>
      <c r="D11" s="4" t="str">
        <f t="shared" si="0"/>
        <v>IC3 (TKJ) backend</v>
      </c>
      <c r="F11" s="2" t="s">
        <v>71</v>
      </c>
      <c r="G11" s="2" t="s">
        <v>89</v>
      </c>
      <c r="I11" s="2">
        <v>1.5</v>
      </c>
      <c r="J11" s="20" t="s">
        <v>4</v>
      </c>
      <c r="K11">
        <v>1E-3</v>
      </c>
      <c r="L11">
        <f xml:space="preserve"> I11*K11</f>
        <v>1.5E-3</v>
      </c>
      <c r="M11" t="s">
        <v>41</v>
      </c>
      <c r="O11" t="s">
        <v>11</v>
      </c>
      <c r="R11" s="30">
        <v>12</v>
      </c>
      <c r="S11" t="s">
        <v>31</v>
      </c>
      <c r="T11">
        <f xml:space="preserve"> L11</f>
        <v>1.5E-3</v>
      </c>
      <c r="X11" t="s">
        <v>40</v>
      </c>
      <c r="Z11" s="2" t="str">
        <f t="shared" si="2"/>
        <v>Device 1 IC3 backend</v>
      </c>
      <c r="AA11" s="33" t="s">
        <v>15</v>
      </c>
      <c r="AB11" s="26" t="s">
        <v>108</v>
      </c>
      <c r="AC11" s="16" t="s">
        <v>33</v>
      </c>
      <c r="AD11" s="25"/>
      <c r="AE11" s="4"/>
      <c r="AF11"/>
    </row>
    <row r="12" spans="1:32" x14ac:dyDescent="0.25">
      <c r="A12" t="s">
        <v>3</v>
      </c>
      <c r="B12" t="s">
        <v>78</v>
      </c>
      <c r="C12" t="s">
        <v>10</v>
      </c>
      <c r="D12" s="4" t="str">
        <f t="shared" ref="D12:D13" si="10">F12</f>
        <v>IC4 (??) frontend</v>
      </c>
      <c r="F12" s="2" t="s">
        <v>102</v>
      </c>
      <c r="G12" s="2" t="s">
        <v>103</v>
      </c>
      <c r="I12" s="2">
        <f>0.2*2*1.1</f>
        <v>0.44000000000000006</v>
      </c>
      <c r="J12" s="19" t="s">
        <v>45</v>
      </c>
      <c r="K12">
        <v>9.9999999999999995E-7</v>
      </c>
      <c r="L12">
        <f t="shared" ref="L12" si="11" xml:space="preserve"> I12*K12</f>
        <v>4.4000000000000002E-7</v>
      </c>
      <c r="M12" t="s">
        <v>43</v>
      </c>
      <c r="R12" s="30">
        <v>13</v>
      </c>
      <c r="S12" t="s">
        <v>31</v>
      </c>
      <c r="T12">
        <f xml:space="preserve"> L12</f>
        <v>4.4000000000000002E-7</v>
      </c>
      <c r="X12" t="s">
        <v>40</v>
      </c>
      <c r="Z12" s="5" t="str">
        <f>SUBSTITUTE(G12, "_", " ")</f>
        <v>Device 1 IC4 frontend</v>
      </c>
      <c r="AA12" s="33" t="s">
        <v>15</v>
      </c>
      <c r="AB12" s="26" t="s">
        <v>107</v>
      </c>
      <c r="AC12" s="16" t="s">
        <v>33</v>
      </c>
      <c r="AD12" s="25"/>
      <c r="AE12" s="4"/>
      <c r="AF12"/>
    </row>
    <row r="13" spans="1:32" x14ac:dyDescent="0.25">
      <c r="A13" t="s">
        <v>3</v>
      </c>
      <c r="B13" t="s">
        <v>78</v>
      </c>
      <c r="C13" t="s">
        <v>10</v>
      </c>
      <c r="D13" s="4" t="str">
        <f t="shared" si="10"/>
        <v>IC4 (??) backend</v>
      </c>
      <c r="F13" s="2" t="s">
        <v>101</v>
      </c>
      <c r="G13" s="2" t="s">
        <v>104</v>
      </c>
      <c r="I13" s="2">
        <v>6.0000000000000001E-3</v>
      </c>
      <c r="J13" s="20" t="s">
        <v>4</v>
      </c>
      <c r="K13">
        <v>1E-3</v>
      </c>
      <c r="L13">
        <f xml:space="preserve"> I13*K13</f>
        <v>6.0000000000000002E-6</v>
      </c>
      <c r="M13" t="s">
        <v>41</v>
      </c>
      <c r="R13" s="30">
        <v>14</v>
      </c>
      <c r="S13" t="s">
        <v>31</v>
      </c>
      <c r="T13">
        <f xml:space="preserve"> L13</f>
        <v>6.0000000000000002E-6</v>
      </c>
      <c r="X13" t="s">
        <v>40</v>
      </c>
      <c r="Z13" s="5" t="str">
        <f>SUBSTITUTE(G13, "_", " ")</f>
        <v>Device 1 IC4 backend</v>
      </c>
      <c r="AA13" s="33" t="s">
        <v>15</v>
      </c>
      <c r="AB13" s="26" t="s">
        <v>108</v>
      </c>
      <c r="AC13" s="16" t="s">
        <v>33</v>
      </c>
      <c r="AD13" s="25"/>
      <c r="AE13" s="4"/>
      <c r="AF13"/>
    </row>
    <row r="14" spans="1:32" ht="16.5" x14ac:dyDescent="0.3">
      <c r="A14" t="s">
        <v>3</v>
      </c>
      <c r="B14" t="s">
        <v>78</v>
      </c>
      <c r="C14" t="s">
        <v>60</v>
      </c>
      <c r="D14" s="4" t="str">
        <f t="shared" si="0"/>
        <v>SMD capacitors 0603</v>
      </c>
      <c r="F14" s="2" t="s">
        <v>13</v>
      </c>
      <c r="G14" s="2" t="s">
        <v>90</v>
      </c>
      <c r="I14" s="2">
        <v>0.5</v>
      </c>
      <c r="J14" s="19" t="s">
        <v>4</v>
      </c>
      <c r="K14">
        <v>1E-3</v>
      </c>
      <c r="L14" s="21">
        <f t="shared" si="4"/>
        <v>5.0000000000000001E-4</v>
      </c>
      <c r="M14" t="s">
        <v>41</v>
      </c>
      <c r="N14" t="s">
        <v>11</v>
      </c>
      <c r="O14" t="s">
        <v>11</v>
      </c>
      <c r="Q14" t="s">
        <v>73</v>
      </c>
      <c r="R14" s="30">
        <v>15</v>
      </c>
      <c r="S14" t="s">
        <v>31</v>
      </c>
      <c r="T14">
        <f t="shared" si="5"/>
        <v>5.0000000000000001E-4</v>
      </c>
      <c r="U14">
        <f t="shared" ref="U14:U15" si="12" xml:space="preserve"> L14/2</f>
        <v>2.5000000000000001E-4</v>
      </c>
      <c r="V14">
        <f t="shared" ref="V14:V15" si="13">L14*2</f>
        <v>1E-3</v>
      </c>
      <c r="X14" t="s">
        <v>30</v>
      </c>
      <c r="Z14" s="2" t="str">
        <f t="shared" si="2"/>
        <v>Device 1 SMD cap 0603</v>
      </c>
      <c r="AA14" s="36" t="s">
        <v>57</v>
      </c>
      <c r="AC14" s="16" t="s">
        <v>33</v>
      </c>
      <c r="AE14" s="4" t="s">
        <v>18</v>
      </c>
      <c r="AF14"/>
    </row>
    <row r="15" spans="1:32" ht="16.5" x14ac:dyDescent="0.3">
      <c r="A15" t="s">
        <v>3</v>
      </c>
      <c r="B15" t="s">
        <v>78</v>
      </c>
      <c r="C15" t="s">
        <v>60</v>
      </c>
      <c r="D15" s="4" t="str">
        <f t="shared" si="0"/>
        <v>SMD resistor 1608</v>
      </c>
      <c r="F15" s="2" t="s">
        <v>14</v>
      </c>
      <c r="G15" t="s">
        <v>91</v>
      </c>
      <c r="I15" s="2">
        <v>0.05</v>
      </c>
      <c r="J15" s="19" t="s">
        <v>4</v>
      </c>
      <c r="K15">
        <v>1E-3</v>
      </c>
      <c r="L15" s="21">
        <f t="shared" si="4"/>
        <v>5.0000000000000002E-5</v>
      </c>
      <c r="M15" t="s">
        <v>41</v>
      </c>
      <c r="N15" t="s">
        <v>11</v>
      </c>
      <c r="O15" t="s">
        <v>11</v>
      </c>
      <c r="Q15" t="s">
        <v>74</v>
      </c>
      <c r="R15" s="30">
        <v>16</v>
      </c>
      <c r="S15" t="s">
        <v>31</v>
      </c>
      <c r="T15">
        <f t="shared" ref="T15:T19" si="14" xml:space="preserve"> L15</f>
        <v>5.0000000000000002E-5</v>
      </c>
      <c r="U15">
        <f t="shared" si="12"/>
        <v>2.5000000000000001E-5</v>
      </c>
      <c r="V15">
        <f t="shared" si="13"/>
        <v>1E-4</v>
      </c>
      <c r="X15" t="s">
        <v>30</v>
      </c>
      <c r="Z15" s="2" t="str">
        <f t="shared" si="2"/>
        <v>Device 1 SMD res 1608</v>
      </c>
      <c r="AA15" s="36" t="s">
        <v>58</v>
      </c>
      <c r="AC15" s="16" t="s">
        <v>33</v>
      </c>
      <c r="AE15" s="4"/>
      <c r="AF15"/>
    </row>
    <row r="16" spans="1:32" x14ac:dyDescent="0.25">
      <c r="A16" t="s">
        <v>3</v>
      </c>
      <c r="B16" t="s">
        <v>78</v>
      </c>
      <c r="C16" t="s">
        <v>60</v>
      </c>
      <c r="D16" s="4" t="str">
        <f t="shared" si="0"/>
        <v>SMD soldering - calculated from EIME table</v>
      </c>
      <c r="F16" s="2" t="s">
        <v>12</v>
      </c>
      <c r="G16" t="s">
        <v>92</v>
      </c>
      <c r="I16" s="2">
        <v>1</v>
      </c>
      <c r="J16" s="19" t="s">
        <v>4</v>
      </c>
      <c r="K16" s="21">
        <v>1E-3</v>
      </c>
      <c r="L16" s="21">
        <f t="shared" ref="L16" si="15" xml:space="preserve"> I16*K16</f>
        <v>1E-3</v>
      </c>
      <c r="M16" t="s">
        <v>41</v>
      </c>
      <c r="N16" s="21" t="s">
        <v>11</v>
      </c>
      <c r="O16" t="s">
        <v>11</v>
      </c>
      <c r="P16" s="21"/>
      <c r="R16" s="30">
        <v>17</v>
      </c>
      <c r="S16" t="s">
        <v>31</v>
      </c>
      <c r="T16">
        <f t="shared" si="14"/>
        <v>1E-3</v>
      </c>
      <c r="X16" t="s">
        <v>40</v>
      </c>
      <c r="Z16" s="2" t="str">
        <f t="shared" si="2"/>
        <v>Device 1 soldering</v>
      </c>
      <c r="AA16" s="33" t="s">
        <v>59</v>
      </c>
      <c r="AC16" s="16" t="s">
        <v>33</v>
      </c>
      <c r="AE16" s="4" t="s">
        <v>20</v>
      </c>
      <c r="AF16"/>
    </row>
    <row r="17" spans="1:32" x14ac:dyDescent="0.25">
      <c r="A17" t="s">
        <v>3</v>
      </c>
      <c r="B17" t="s">
        <v>78</v>
      </c>
      <c r="C17" t="s">
        <v>97</v>
      </c>
      <c r="D17" s="4" t="str">
        <f>F17</f>
        <v>cardboard packaging</v>
      </c>
      <c r="F17" s="2" t="s">
        <v>98</v>
      </c>
      <c r="G17" t="s">
        <v>99</v>
      </c>
      <c r="I17" s="2">
        <v>50</v>
      </c>
      <c r="J17" s="20" t="s">
        <v>4</v>
      </c>
      <c r="K17" s="21">
        <v>1E-3</v>
      </c>
      <c r="L17" s="21">
        <f t="shared" ref="L17" si="16" xml:space="preserve"> I17*K17</f>
        <v>0.05</v>
      </c>
      <c r="M17" t="s">
        <v>41</v>
      </c>
      <c r="N17" s="21" t="s">
        <v>11</v>
      </c>
      <c r="O17" t="s">
        <v>11</v>
      </c>
      <c r="P17" s="21"/>
      <c r="R17" s="30">
        <v>18</v>
      </c>
      <c r="S17" t="s">
        <v>31</v>
      </c>
      <c r="T17">
        <f xml:space="preserve"> L17</f>
        <v>0.05</v>
      </c>
      <c r="X17" t="s">
        <v>40</v>
      </c>
      <c r="Z17" s="5" t="str">
        <f>SUBSTITUTE(G17, "_", " ")</f>
        <v>Device 1 cardboard</v>
      </c>
      <c r="AA17" s="33" t="s">
        <v>100</v>
      </c>
      <c r="AC17" s="16" t="s">
        <v>34</v>
      </c>
      <c r="AE17" s="4"/>
      <c r="AF17"/>
    </row>
    <row r="18" spans="1:32" x14ac:dyDescent="0.25">
      <c r="A18" t="s">
        <v>8</v>
      </c>
      <c r="B18" t="s">
        <v>8</v>
      </c>
      <c r="C18" t="s">
        <v>61</v>
      </c>
      <c r="D18" s="4" t="str">
        <f t="shared" si="0"/>
        <v>Intra-Asia travels 1000km (Truck) (mass = 250g with packaging)</v>
      </c>
      <c r="F18" s="2" t="s">
        <v>95</v>
      </c>
      <c r="G18" t="s">
        <v>93</v>
      </c>
      <c r="I18" s="2">
        <v>0.25</v>
      </c>
      <c r="J18" s="20" t="s">
        <v>75</v>
      </c>
      <c r="K18">
        <v>1</v>
      </c>
      <c r="L18">
        <f t="shared" si="4"/>
        <v>0.25</v>
      </c>
      <c r="M18" t="s">
        <v>75</v>
      </c>
      <c r="N18" t="s">
        <v>11</v>
      </c>
      <c r="O18" t="s">
        <v>11</v>
      </c>
      <c r="Q18" t="s">
        <v>77</v>
      </c>
      <c r="R18" s="30">
        <v>19</v>
      </c>
      <c r="S18" t="s">
        <v>31</v>
      </c>
      <c r="T18">
        <f t="shared" si="14"/>
        <v>0.25</v>
      </c>
      <c r="U18">
        <f xml:space="preserve"> L18/2</f>
        <v>0.125</v>
      </c>
      <c r="V18">
        <f>L18*2</f>
        <v>0.5</v>
      </c>
      <c r="X18" t="s">
        <v>44</v>
      </c>
      <c r="Z18" s="2" t="str">
        <f t="shared" si="2"/>
        <v>Device 1 T1</v>
      </c>
      <c r="AA18" s="33" t="s">
        <v>37</v>
      </c>
      <c r="AB18" s="26"/>
      <c r="AC18" s="16" t="s">
        <v>34</v>
      </c>
      <c r="AE18" s="4"/>
      <c r="AF18"/>
    </row>
    <row r="19" spans="1:32" x14ac:dyDescent="0.25">
      <c r="A19" t="s">
        <v>8</v>
      </c>
      <c r="B19" t="s">
        <v>8</v>
      </c>
      <c r="C19" t="s">
        <v>61</v>
      </c>
      <c r="D19" s="4" t="str">
        <f t="shared" si="0"/>
        <v>Intra-Asia travels 1000km(Train) (mass = 250g with packaging)</v>
      </c>
      <c r="F19" s="2" t="s">
        <v>96</v>
      </c>
      <c r="G19" t="s">
        <v>94</v>
      </c>
      <c r="I19" s="2">
        <v>0.25</v>
      </c>
      <c r="J19" s="20" t="s">
        <v>75</v>
      </c>
      <c r="K19">
        <v>1</v>
      </c>
      <c r="L19">
        <f t="shared" si="4"/>
        <v>0.25</v>
      </c>
      <c r="M19" t="s">
        <v>75</v>
      </c>
      <c r="N19" t="s">
        <v>11</v>
      </c>
      <c r="O19" t="s">
        <v>11</v>
      </c>
      <c r="Q19" t="s">
        <v>77</v>
      </c>
      <c r="R19" s="30">
        <v>20</v>
      </c>
      <c r="S19" t="s">
        <v>31</v>
      </c>
      <c r="T19">
        <f t="shared" si="14"/>
        <v>0.25</v>
      </c>
      <c r="U19">
        <f xml:space="preserve"> L19/2</f>
        <v>0.125</v>
      </c>
      <c r="V19">
        <f>L19*2</f>
        <v>0.5</v>
      </c>
      <c r="X19" t="s">
        <v>44</v>
      </c>
      <c r="Z19" s="2" t="str">
        <f t="shared" si="2"/>
        <v>Device 1 T2</v>
      </c>
      <c r="AA19" s="35" t="s">
        <v>38</v>
      </c>
      <c r="AB19" s="26"/>
      <c r="AC19" s="16" t="s">
        <v>35</v>
      </c>
      <c r="AE19" s="4"/>
    </row>
  </sheetData>
  <phoneticPr fontId="8" type="noConversion"/>
  <conditionalFormatting sqref="I1:M1 R1:Z1">
    <cfRule type="cellIs" dxfId="5" priority="1" operator="equal">
      <formula>"Elec"</formula>
    </cfRule>
    <cfRule type="cellIs" dxfId="4" priority="2" operator="equal">
      <formula>"Mech"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2697-E972-43E1-A3BB-6C1478851135}">
  <sheetPr>
    <tabColor theme="8"/>
  </sheetPr>
  <dimension ref="A1:AE2"/>
  <sheetViews>
    <sheetView zoomScale="70" zoomScaleNormal="70" workbookViewId="0">
      <selection activeCell="D1" sqref="A1:AE2"/>
    </sheetView>
  </sheetViews>
  <sheetFormatPr defaultRowHeight="15" x14ac:dyDescent="0.25"/>
  <cols>
    <col min="6" max="6" width="18" customWidth="1"/>
    <col min="7" max="7" width="48.28515625" customWidth="1"/>
    <col min="18" max="18" width="36.42578125" customWidth="1"/>
    <col min="26" max="26" width="59.42578125" customWidth="1"/>
  </cols>
  <sheetData>
    <row r="1" spans="1:31" ht="90.75" customHeight="1" x14ac:dyDescent="0.25">
      <c r="A1" s="7" t="s">
        <v>2</v>
      </c>
      <c r="B1" s="7" t="s">
        <v>52</v>
      </c>
      <c r="C1" s="7" t="s">
        <v>46</v>
      </c>
      <c r="D1" s="8" t="s">
        <v>48</v>
      </c>
      <c r="E1" s="9" t="s">
        <v>53</v>
      </c>
      <c r="F1" s="10" t="s">
        <v>22</v>
      </c>
      <c r="G1" s="11" t="s">
        <v>36</v>
      </c>
      <c r="H1" s="11" t="s">
        <v>6</v>
      </c>
      <c r="I1" s="12" t="s">
        <v>5</v>
      </c>
      <c r="J1" s="18" t="s">
        <v>49</v>
      </c>
      <c r="K1" s="12" t="s">
        <v>50</v>
      </c>
      <c r="L1" s="12" t="s">
        <v>51</v>
      </c>
      <c r="M1" s="12" t="s">
        <v>76</v>
      </c>
      <c r="N1" s="12" t="s">
        <v>0</v>
      </c>
      <c r="O1" s="12" t="s">
        <v>55</v>
      </c>
      <c r="P1" s="12" t="s">
        <v>56</v>
      </c>
      <c r="Q1" s="12" t="s">
        <v>1</v>
      </c>
      <c r="R1" s="32" t="s">
        <v>105</v>
      </c>
      <c r="S1" s="31" t="s">
        <v>23</v>
      </c>
      <c r="T1" s="13" t="s">
        <v>24</v>
      </c>
      <c r="U1" s="13" t="s">
        <v>25</v>
      </c>
      <c r="V1" s="13" t="s">
        <v>26</v>
      </c>
      <c r="W1" s="13" t="s">
        <v>27</v>
      </c>
      <c r="X1" s="13" t="s">
        <v>28</v>
      </c>
      <c r="Y1" s="13" t="s">
        <v>29</v>
      </c>
      <c r="Z1" s="13" t="s">
        <v>21</v>
      </c>
      <c r="AA1" s="34" t="s">
        <v>7</v>
      </c>
      <c r="AB1" s="17" t="s">
        <v>39</v>
      </c>
      <c r="AC1" s="17" t="s">
        <v>32</v>
      </c>
      <c r="AD1" s="17" t="s">
        <v>110</v>
      </c>
      <c r="AE1" s="14" t="s">
        <v>16</v>
      </c>
    </row>
    <row r="2" spans="1:31" x14ac:dyDescent="0.25">
      <c r="D2" s="6"/>
      <c r="E2" s="5"/>
      <c r="F2" s="2"/>
      <c r="G2" s="2"/>
      <c r="H2" s="1"/>
      <c r="I2" s="2"/>
      <c r="J2" s="19"/>
      <c r="R2" s="30"/>
      <c r="Z2" s="2"/>
      <c r="AA2" s="33"/>
      <c r="AB2" s="26"/>
      <c r="AC2" s="16"/>
      <c r="AD2" s="16"/>
      <c r="AE2" s="4"/>
    </row>
  </sheetData>
  <phoneticPr fontId="8" type="noConversion"/>
  <conditionalFormatting sqref="I1:M1 R1:Z1">
    <cfRule type="cellIs" dxfId="3" priority="1" operator="equal">
      <formula>"Elec"</formula>
    </cfRule>
    <cfRule type="cellIs" dxfId="2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18F8-A6F6-4B8B-8228-F52AAB89FEEE}">
  <sheetPr>
    <tabColor theme="8"/>
  </sheetPr>
  <dimension ref="A1:AE2"/>
  <sheetViews>
    <sheetView workbookViewId="0">
      <selection sqref="A1:AE2"/>
    </sheetView>
  </sheetViews>
  <sheetFormatPr defaultRowHeight="15" x14ac:dyDescent="0.25"/>
  <sheetData>
    <row r="1" spans="1:31" ht="78.75" x14ac:dyDescent="0.25">
      <c r="A1" s="7" t="s">
        <v>2</v>
      </c>
      <c r="B1" s="7" t="s">
        <v>52</v>
      </c>
      <c r="C1" s="7" t="s">
        <v>46</v>
      </c>
      <c r="D1" s="8" t="s">
        <v>48</v>
      </c>
      <c r="E1" s="9" t="s">
        <v>53</v>
      </c>
      <c r="F1" s="10" t="s">
        <v>22</v>
      </c>
      <c r="G1" s="11" t="s">
        <v>36</v>
      </c>
      <c r="H1" s="11" t="s">
        <v>6</v>
      </c>
      <c r="I1" s="12" t="s">
        <v>5</v>
      </c>
      <c r="J1" s="18" t="s">
        <v>49</v>
      </c>
      <c r="K1" s="12" t="s">
        <v>50</v>
      </c>
      <c r="L1" s="12" t="s">
        <v>51</v>
      </c>
      <c r="M1" s="12" t="s">
        <v>76</v>
      </c>
      <c r="N1" s="12" t="s">
        <v>0</v>
      </c>
      <c r="O1" s="12" t="s">
        <v>55</v>
      </c>
      <c r="P1" s="12" t="s">
        <v>56</v>
      </c>
      <c r="Q1" s="12" t="s">
        <v>1</v>
      </c>
      <c r="R1" s="32" t="s">
        <v>105</v>
      </c>
      <c r="S1" s="31" t="s">
        <v>23</v>
      </c>
      <c r="T1" s="13" t="s">
        <v>24</v>
      </c>
      <c r="U1" s="13" t="s">
        <v>25</v>
      </c>
      <c r="V1" s="13" t="s">
        <v>26</v>
      </c>
      <c r="W1" s="13" t="s">
        <v>27</v>
      </c>
      <c r="X1" s="13" t="s">
        <v>28</v>
      </c>
      <c r="Y1" s="13" t="s">
        <v>29</v>
      </c>
      <c r="Z1" s="13" t="s">
        <v>21</v>
      </c>
      <c r="AA1" s="34" t="s">
        <v>7</v>
      </c>
      <c r="AB1" s="17" t="s">
        <v>39</v>
      </c>
      <c r="AC1" s="17" t="s">
        <v>32</v>
      </c>
      <c r="AD1" s="17" t="s">
        <v>110</v>
      </c>
      <c r="AE1" s="14" t="s">
        <v>16</v>
      </c>
    </row>
    <row r="2" spans="1:31" x14ac:dyDescent="0.25">
      <c r="D2" s="6"/>
      <c r="E2" s="5"/>
      <c r="F2" s="2"/>
      <c r="G2" s="2"/>
      <c r="H2" s="1"/>
      <c r="I2" s="2"/>
      <c r="J2" s="19"/>
      <c r="R2" s="30"/>
      <c r="Z2" s="2"/>
      <c r="AA2" s="33"/>
      <c r="AB2" s="26"/>
      <c r="AC2" s="16"/>
      <c r="AD2" s="16"/>
      <c r="AE2" s="4"/>
    </row>
  </sheetData>
  <conditionalFormatting sqref="I1:M1 R1:Z1">
    <cfRule type="cellIs" dxfId="1" priority="1" operator="equal">
      <formula>"Elec"</formula>
    </cfRule>
    <cfRule type="cellIs" dxfId="0" priority="2" operator="equal">
      <formula>"Mech"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Device_1_Prod</vt:lpstr>
      <vt:lpstr>Device_1_T</vt:lpstr>
      <vt:lpstr>Device_1_EoL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Robin Dethienne</cp:lastModifiedBy>
  <dcterms:created xsi:type="dcterms:W3CDTF">2015-06-05T18:17:20Z</dcterms:created>
  <dcterms:modified xsi:type="dcterms:W3CDTF">2025-08-20T13:45:56Z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